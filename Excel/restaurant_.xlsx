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e277aa2130570a1/Documents/"/>
    </mc:Choice>
  </mc:AlternateContent>
  <xr:revisionPtr revIDLastSave="695" documentId="8_{01AA8F4C-7F05-4233-A749-C1C1FFE6EEE2}" xr6:coauthVersionLast="47" xr6:coauthVersionMax="47" xr10:uidLastSave="{9BB7D76B-E82A-4804-90E8-FB9A7C844B13}"/>
  <bookViews>
    <workbookView xWindow="-108" yWindow="-108" windowWidth="23256" windowHeight="13176" activeTab="2" xr2:uid="{0FFAE082-16A3-48C5-B0DA-A49D3AA8BF79}"/>
  </bookViews>
  <sheets>
    <sheet name="PivotTable" sheetId="3" r:id="rId1"/>
    <sheet name="Data" sheetId="1" r:id="rId2"/>
    <sheet name="Dashboard" sheetId="2" r:id="rId3"/>
  </sheets>
  <definedNames>
    <definedName name="_xlcn.WorksheetConnection_restaurant_.xlsxTable11" hidden="1">Table1[]</definedName>
    <definedName name="Slicer_Category">#N/A</definedName>
    <definedName name="Slicer_Date__Month">#N/A</definedName>
    <definedName name="Slicer_Region">#N/A</definedName>
  </definedNames>
  <calcPr calcId="191029"/>
  <pivotCaches>
    <pivotCache cacheId="737" r:id="rId4"/>
    <pivotCache cacheId="740" r:id="rId5"/>
    <pivotCache cacheId="743" r:id="rId6"/>
    <pivotCache cacheId="746" r:id="rId7"/>
    <pivotCache cacheId="749" r:id="rId8"/>
    <pivotCache cacheId="752" r:id="rId9"/>
    <pivotCache cacheId="755" r:id="rId10"/>
    <pivotCache cacheId="758"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resturant" connection="WorksheetConnection_restaurant_.xlsx!Table1"/>
        </x15:modelTables>
        <x15:extLst>
          <ext xmlns:x16="http://schemas.microsoft.com/office/spreadsheetml/2014/11/main" uri="{9835A34E-60A6-4A7C-AAB8-D5F71C897F49}">
            <x16:modelTimeGroupings>
              <x16:modelTimeGrouping tableName="resturant"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resturant" columnName="Time" columnId="Time">
                <x16:calculatedTimeColumn columnName="Time (Month Index)" columnId="Time (Month Index)" contentType="monthsindex" isSelected="1"/>
                <x16:calculatedTimeColumn columnName="Time (Month)" columnId="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B21" i="3"/>
  <c r="B19" i="3"/>
  <c r="B18" i="3"/>
  <c r="B2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E3518B-7E4F-4A88-82DE-D341D84362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49F5015-2DF9-45D8-9EA1-EBB6898F3558}" name="WorksheetConnection_restaurant_.xlsx!Table1" type="102" refreshedVersion="8" minRefreshableVersion="5">
    <extLst>
      <ext xmlns:x15="http://schemas.microsoft.com/office/spreadsheetml/2010/11/main" uri="{DE250136-89BD-433C-8126-D09CA5730AF9}">
        <x15:connection id="Table1">
          <x15:rangePr sourceName="_xlcn.WorksheetConnection_restaurant_.xlsxTable11"/>
        </x15:connection>
      </ext>
    </extLst>
  </connection>
</connections>
</file>

<file path=xl/sharedStrings.xml><?xml version="1.0" encoding="utf-8"?>
<sst xmlns="http://schemas.openxmlformats.org/spreadsheetml/2006/main" count="4903" uniqueCount="364">
  <si>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</si>
  <si>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</si>
  <si>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</si>
  <si>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</si>
  <si>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</si>
  <si>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</si>
  <si>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</si>
  <si>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</si>
  <si>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</si>
  <si>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</si>
  <si>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</si>
  <si>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</si>
  <si>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</si>
  <si>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</si>
  <si>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</si>
  <si>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</si>
  <si>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</si>
  <si>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</si>
  <si>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</si>
  <si>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</si>
  <si>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</si>
  <si>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</si>
  <si>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</si>
  <si>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</si>
  <si>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</si>
  <si>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</si>
  <si>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</si>
  <si>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</si>
  <si>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</si>
  <si>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</si>
  <si>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</si>
  <si>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</si>
  <si>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</si>
  <si>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</si>
  <si>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</si>
  <si>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</si>
  <si>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</si>
  <si>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</si>
  <si>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</si>
  <si>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</si>
  <si>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</si>
  <si>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</si>
  <si>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</si>
  <si>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</si>
  <si>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</si>
  <si>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</si>
  <si>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</si>
  <si>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</si>
  <si>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</si>
  <si>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</si>
  <si>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</si>
  <si>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</si>
  <si>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</si>
  <si>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</si>
  <si>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</si>
  <si>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</si>
  <si>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</si>
  <si>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</si>
  <si>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</si>
  <si>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</si>
  <si>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</si>
  <si>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</si>
  <si>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</si>
  <si>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</si>
  <si>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</si>
  <si>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</si>
  <si>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</si>
  <si>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</si>
  <si>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</si>
  <si>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</si>
  <si>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</si>
  <si>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</si>
  <si>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</si>
  <si>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</si>
  <si>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</si>
  <si>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</si>
  <si>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</si>
  <si>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</si>
  <si>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</si>
  <si>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</si>
  <si>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</si>
  <si>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</si>
  <si>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</si>
  <si>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</si>
  <si>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</si>
  <si>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</si>
  <si>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</si>
  <si>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</si>
  <si>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</si>
  <si>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</si>
  <si>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</si>
  <si>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</si>
  <si>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</si>
  <si>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</si>
  <si>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</si>
  <si>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</si>
  <si>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</si>
  <si>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</si>
  <si>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</si>
  <si>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</si>
  <si>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</si>
  <si>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</si>
  <si>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</si>
  <si>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</si>
  <si>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</si>
  <si>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</si>
  <si>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</si>
  <si>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</si>
  <si>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</si>
  <si>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</si>
  <si>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</si>
  <si>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</si>
  <si>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</si>
  <si>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</si>
  <si>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</si>
  <si>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</si>
  <si>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</si>
  <si>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</si>
  <si>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</si>
  <si>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</si>
  <si>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</si>
  <si>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</si>
  <si>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</si>
  <si>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</si>
  <si>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</si>
  <si>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</si>
  <si>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</si>
  <si>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</si>
  <si>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</si>
  <si>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</si>
  <si>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</si>
  <si>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</si>
  <si>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</si>
  <si>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</si>
  <si>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</si>
  <si>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</si>
  <si>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</si>
  <si>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</si>
  <si>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</si>
  <si>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</si>
  <si>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</si>
  <si>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</si>
  <si>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</si>
  <si>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</si>
  <si>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</si>
  <si>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</si>
  <si>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</si>
  <si>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</si>
  <si>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</si>
  <si>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</si>
  <si>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</si>
  <si>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</si>
  <si>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</si>
  <si>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</si>
  <si>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</si>
  <si>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</si>
  <si>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</si>
  <si>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</si>
  <si>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</si>
  <si>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</si>
  <si>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</si>
  <si>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</si>
  <si>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</si>
  <si>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</si>
  <si>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</si>
  <si>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</si>
  <si>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</si>
  <si>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</si>
  <si>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</si>
  <si>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</si>
  <si>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</si>
  <si>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</si>
  <si>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</si>
  <si>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</si>
  <si>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</si>
  <si>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</si>
  <si>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</si>
  <si>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</si>
  <si>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</si>
  <si>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</si>
  <si>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</si>
  <si>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</si>
  <si>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</si>
  <si>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</si>
  <si>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</si>
  <si>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</si>
  <si>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</si>
  <si>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</si>
  <si>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</si>
  <si>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</si>
  <si>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</si>
  <si>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</si>
  <si>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</si>
  <si>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</si>
  <si>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</si>
  <si>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</si>
  <si>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</si>
  <si>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</si>
  <si>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</si>
  <si>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</si>
  <si>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</si>
  <si>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</si>
  <si>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</si>
  <si>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</si>
  <si>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</si>
  <si>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</si>
  <si>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</si>
  <si>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</si>
  <si>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</si>
  <si>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</si>
  <si>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</si>
  <si>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</si>
  <si>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</si>
  <si>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</si>
  <si>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</si>
  <si>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</si>
  <si>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</si>
  <si>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</si>
  <si>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</si>
  <si>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</si>
  <si>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</si>
  <si>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</si>
  <si>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</si>
  <si>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</si>
  <si>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</si>
  <si>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</si>
  <si>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</si>
  <si>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</si>
  <si>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</si>
  <si>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</si>
  <si>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</si>
  <si>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</si>
  <si>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</si>
  <si>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</si>
  <si>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</si>
  <si>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</si>
  <si>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</si>
  <si>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</si>
  <si>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</si>
  <si>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</si>
  <si>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</si>
  <si>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</si>
  <si>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</si>
  <si>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</si>
  <si>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</si>
  <si>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</si>
  <si>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</si>
  <si>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</si>
  <si>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</si>
  <si>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</si>
  <si>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</si>
  <si>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</si>
  <si>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</si>
  <si>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</si>
  <si>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</si>
  <si>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</si>
  <si>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</si>
  <si>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</si>
  <si>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</si>
  <si>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</si>
  <si>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</si>
  <si>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</si>
  <si>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</si>
  <si>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</si>
  <si>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</si>
  <si>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</si>
  <si>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</si>
  <si>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</si>
  <si>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</si>
  <si>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</si>
  <si>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</si>
  <si>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</si>
  <si>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</si>
  <si>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</si>
  <si>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</si>
  <si>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</si>
  <si>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</si>
  <si>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</si>
  <si>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</si>
  <si>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</si>
  <si>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</si>
  <si>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</si>
  <si>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</si>
  <si>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</si>
  <si>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</si>
  <si>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</si>
  <si>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</si>
  <si>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</si>
  <si>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</si>
  <si>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</si>
  <si>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</si>
  <si>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</si>
  <si>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</si>
  <si>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</si>
  <si>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</si>
  <si>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</si>
  <si>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</si>
  <si>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</si>
  <si>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</si>
  <si>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</si>
  <si>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</si>
  <si>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</si>
  <si>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</si>
  <si>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</si>
  <si>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</si>
  <si>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</si>
  <si>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</si>
  <si>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</si>
  <si>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</si>
  <si>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</si>
  <si>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</si>
  <si>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</si>
  <si>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</si>
  <si>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</si>
  <si>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</si>
  <si>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</si>
  <si>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</si>
  <si>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</si>
  <si>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</si>
  <si>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</si>
  <si>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</si>
  <si>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</si>
  <si>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</si>
  <si>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</si>
  <si>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Time</t>
  </si>
  <si>
    <t>Weekday</t>
  </si>
  <si>
    <t>Month</t>
  </si>
  <si>
    <t>Hour</t>
  </si>
  <si>
    <t>Row Labels</t>
  </si>
  <si>
    <t>Grand Total</t>
  </si>
  <si>
    <t>Sum of Sales</t>
  </si>
  <si>
    <t>Jan</t>
  </si>
  <si>
    <t>Feb</t>
  </si>
  <si>
    <t>Mar</t>
  </si>
  <si>
    <t>Apr</t>
  </si>
  <si>
    <t>May</t>
  </si>
  <si>
    <t>Jun</t>
  </si>
  <si>
    <t>Jul</t>
  </si>
  <si>
    <t>Aug</t>
  </si>
  <si>
    <t>Sep</t>
  </si>
  <si>
    <t>Oct</t>
  </si>
  <si>
    <t>Nov</t>
  </si>
  <si>
    <t>Dec</t>
  </si>
  <si>
    <t>month with sales</t>
  </si>
  <si>
    <t>region with sales</t>
  </si>
  <si>
    <t>category with sales</t>
  </si>
  <si>
    <t>Menuitem with sales (top 10)</t>
  </si>
  <si>
    <t>hour with sales</t>
  </si>
  <si>
    <t>day with orderid</t>
  </si>
  <si>
    <t>Friday</t>
  </si>
  <si>
    <t>Monday</t>
  </si>
  <si>
    <t>Saturday</t>
  </si>
  <si>
    <t>Sunday</t>
  </si>
  <si>
    <t>Thursday</t>
  </si>
  <si>
    <t>Tuesday</t>
  </si>
  <si>
    <t>Wednesday</t>
  </si>
  <si>
    <t>Count of OrderID</t>
  </si>
  <si>
    <t>customers with sales</t>
  </si>
  <si>
    <t>KPIS</t>
  </si>
  <si>
    <t>Total Sales</t>
  </si>
  <si>
    <t>Total Orders</t>
  </si>
  <si>
    <t>Total Quantity Sold</t>
  </si>
  <si>
    <t>Average Order Value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</si>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</sst>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7"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0" xfId="0" applyBorder="1"/>
    <xf numFmtId="2" fontId="0" fillId="0" borderId="10" xfId="0" applyNumberFormat="1" applyBorder="1"/>
    <xf numFmtId="0" fontId="0" fillId="0" borderId="0" xfId="0" applyAlignment="1">
      <alignment horizontal="center"/>
    </xf>
    <xf numFmtId="0" fontId="0" fillId="33" borderId="0" xfId="0" applyFill="1" applyAlignment="1">
      <alignment horizontal="center"/>
    </xf>
    <xf numFmtId="0" fontId="0" fillId="34" borderId="10"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29" formatCode="mm:ss.0"/>
    </dxf>
    <dxf>
      <numFmt numFmtId="164" formatCode="[$-F400]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PivotTable!$H$2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EE-4B10-910B-636B32D5CFB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EE-4B10-910B-636B32D5CFB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EE-4B10-910B-636B32D5CFB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EE-4B10-910B-636B32D5CFB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CEE-4B10-910B-636B32D5CF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PivotTable!$G$3:$G$8</c:f>
              <c:strCache>
                <c:ptCount val="5"/>
                <c:pt idx="0">
                  <c:v>Asian</c:v>
                </c:pt>
                <c:pt idx="1">
                  <c:v>Continental</c:v>
                </c:pt>
                <c:pt idx="2">
                  <c:v>Fast Food</c:v>
                </c:pt>
                <c:pt idx="3">
                  <c:v>Healthy</c:v>
                </c:pt>
                <c:pt idx="4">
                  <c:v>Main Course</c:v>
                </c:pt>
              </c:strCache>
            </c:strRef>
          </c:cat>
          <c:val>
            <c:numRef>
              <c:f>PivotTable!$H$3:$H$8</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2CEE-4B10-910B-636B32D5CF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Weekdays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PivotTable!$H$11</c:f>
              <c:strCache>
                <c:ptCount val="1"/>
                <c:pt idx="0">
                  <c:v>Total</c:v>
                </c:pt>
              </c:strCache>
            </c:strRef>
          </c:tx>
          <c:spPr>
            <a:solidFill>
              <a:schemeClr val="accent1"/>
            </a:solidFill>
            <a:ln>
              <a:noFill/>
            </a:ln>
            <a:effectLst/>
            <a:sp3d/>
          </c:spPr>
          <c:invertIfNegative val="0"/>
          <c:cat>
            <c:strRef>
              <c:f>PivotTable!$G$12:$G$19</c:f>
              <c:strCache>
                <c:ptCount val="7"/>
                <c:pt idx="0">
                  <c:v>Friday</c:v>
                </c:pt>
                <c:pt idx="1">
                  <c:v>Monday</c:v>
                </c:pt>
                <c:pt idx="2">
                  <c:v>Saturday</c:v>
                </c:pt>
                <c:pt idx="3">
                  <c:v>Sunday</c:v>
                </c:pt>
                <c:pt idx="4">
                  <c:v>Thursday</c:v>
                </c:pt>
                <c:pt idx="5">
                  <c:v>Tuesday</c:v>
                </c:pt>
                <c:pt idx="6">
                  <c:v>Wednesday</c:v>
                </c:pt>
              </c:strCache>
            </c:strRef>
          </c:cat>
          <c:val>
            <c:numRef>
              <c:f>PivotTable!$H$12:$H$19</c:f>
              <c:numCache>
                <c:formatCode>General</c:formatCode>
                <c:ptCount val="7"/>
                <c:pt idx="0">
                  <c:v>171</c:v>
                </c:pt>
                <c:pt idx="1">
                  <c:v>171</c:v>
                </c:pt>
                <c:pt idx="2">
                  <c:v>171</c:v>
                </c:pt>
                <c:pt idx="3">
                  <c:v>173</c:v>
                </c:pt>
                <c:pt idx="4">
                  <c:v>171</c:v>
                </c:pt>
                <c:pt idx="5">
                  <c:v>171</c:v>
                </c:pt>
                <c:pt idx="6">
                  <c:v>172</c:v>
                </c:pt>
              </c:numCache>
            </c:numRef>
          </c:val>
          <c:extLst>
            <c:ext xmlns:c16="http://schemas.microsoft.com/office/drawing/2014/chart" uri="{C3380CC4-5D6E-409C-BE32-E72D297353CC}">
              <c16:uniqueId val="{00000000-A3D8-43F2-B089-C15B9D81A4D0}"/>
            </c:ext>
          </c:extLst>
        </c:ser>
        <c:dLbls>
          <c:showLegendKey val="0"/>
          <c:showVal val="0"/>
          <c:showCatName val="0"/>
          <c:showSerName val="0"/>
          <c:showPercent val="0"/>
          <c:showBubbleSize val="0"/>
        </c:dLbls>
        <c:gapWidth val="150"/>
        <c:shape val="box"/>
        <c:axId val="1508371776"/>
        <c:axId val="1508366496"/>
        <c:axId val="0"/>
      </c:bar3DChart>
      <c:catAx>
        <c:axId val="150837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66496"/>
        <c:crosses val="autoZero"/>
        <c:auto val="1"/>
        <c:lblAlgn val="ctr"/>
        <c:lblOffset val="100"/>
        <c:noMultiLvlLbl val="0"/>
      </c:catAx>
      <c:valAx>
        <c:axId val="150836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7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 By Month</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PivotTable!$B$2</c:f>
              <c:strCache>
                <c:ptCount val="1"/>
                <c:pt idx="0">
                  <c:v>Total</c:v>
                </c:pt>
              </c:strCache>
            </c:strRef>
          </c:tx>
          <c:spPr>
            <a:solidFill>
              <a:srgbClr val="FFC000"/>
            </a:solidFill>
            <a:ln>
              <a:noFill/>
            </a:ln>
            <a:effectLst/>
            <a:sp3d/>
          </c:spPr>
          <c:invertIfNegative val="0"/>
          <c:cat>
            <c:strRef>
              <c:f>PivotTable!$A$3:$A$15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PivotTable!$B$3:$B$15</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hape val="cylinder"/>
          <c:extLst>
            <c:ext xmlns:c16="http://schemas.microsoft.com/office/drawing/2014/chart" uri="{C3380CC4-5D6E-409C-BE32-E72D297353CC}">
              <c16:uniqueId val="{00000002-F889-49E0-9088-A890EFAB1C68}"/>
            </c:ext>
          </c:extLst>
        </c:ser>
        <c:dLbls>
          <c:showLegendKey val="0"/>
          <c:showVal val="0"/>
          <c:showCatName val="0"/>
          <c:showSerName val="0"/>
          <c:showPercent val="0"/>
          <c:showBubbleSize val="0"/>
        </c:dLbls>
        <c:gapWidth val="150"/>
        <c:shape val="box"/>
        <c:axId val="1508359776"/>
        <c:axId val="1508373216"/>
        <c:axId val="0"/>
      </c:bar3DChart>
      <c:catAx>
        <c:axId val="150835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8373216"/>
        <c:crosses val="autoZero"/>
        <c:auto val="1"/>
        <c:lblAlgn val="ctr"/>
        <c:lblOffset val="100"/>
        <c:noMultiLvlLbl val="0"/>
      </c:catAx>
      <c:valAx>
        <c:axId val="150837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8359776"/>
        <c:crosses val="autoZero"/>
        <c:crossBetween val="between"/>
      </c:valAx>
    </c:plotArea>
    <c:plotVisOnly val="1"/>
    <c:dispBlanksAs val="gap"/>
    <c:showDLblsOverMax val="0"/>
    <c:extLst/>
  </c:chart>
  <c:spPr>
    <a:solidFill>
      <a:schemeClr val="tx1">
        <a:lumMod val="75000"/>
        <a:lumOff val="2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MenuItem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PivotTable!$K$2</c:f>
              <c:strCache>
                <c:ptCount val="1"/>
                <c:pt idx="0">
                  <c:v>Total</c:v>
                </c:pt>
              </c:strCache>
            </c:strRef>
          </c:tx>
          <c:spPr>
            <a:solidFill>
              <a:schemeClr val="accent1"/>
            </a:solidFill>
            <a:ln>
              <a:noFill/>
            </a:ln>
            <a:effectLst/>
            <a:sp3d/>
          </c:spPr>
          <c:invertIfNegative val="0"/>
          <c:cat>
            <c:strRef>
              <c:f>PivotTable!$J$3:$J$13</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PivotTable!$K$3:$K$13</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B94D-432F-A251-60496288B3BE}"/>
            </c:ext>
          </c:extLst>
        </c:ser>
        <c:dLbls>
          <c:showLegendKey val="0"/>
          <c:showVal val="0"/>
          <c:showCatName val="0"/>
          <c:showSerName val="0"/>
          <c:showPercent val="0"/>
          <c:showBubbleSize val="0"/>
        </c:dLbls>
        <c:gapWidth val="150"/>
        <c:shape val="box"/>
        <c:axId val="1508331456"/>
        <c:axId val="1508339136"/>
        <c:axId val="0"/>
      </c:bar3DChart>
      <c:catAx>
        <c:axId val="150833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39136"/>
        <c:crosses val="autoZero"/>
        <c:auto val="1"/>
        <c:lblAlgn val="ctr"/>
        <c:lblOffset val="100"/>
        <c:noMultiLvlLbl val="0"/>
      </c:catAx>
      <c:valAx>
        <c:axId val="150833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PivotTable!$E$2</c:f>
              <c:strCache>
                <c:ptCount val="1"/>
                <c:pt idx="0">
                  <c:v>Total</c:v>
                </c:pt>
              </c:strCache>
            </c:strRef>
          </c:tx>
          <c:spPr>
            <a:solidFill>
              <a:schemeClr val="accent1"/>
            </a:solidFill>
            <a:ln>
              <a:noFill/>
            </a:ln>
            <a:effectLst/>
            <a:sp3d/>
          </c:spPr>
          <c:invertIfNegative val="0"/>
          <c:cat>
            <c:strRef>
              <c:f>PivotTable!$D$3:$D$7</c:f>
              <c:strCache>
                <c:ptCount val="4"/>
                <c:pt idx="0">
                  <c:v>East</c:v>
                </c:pt>
                <c:pt idx="1">
                  <c:v>North</c:v>
                </c:pt>
                <c:pt idx="2">
                  <c:v>South</c:v>
                </c:pt>
                <c:pt idx="3">
                  <c:v>West</c:v>
                </c:pt>
              </c:strCache>
            </c:strRef>
          </c:cat>
          <c:val>
            <c:numRef>
              <c:f>PivotTable!$E$3:$E$7</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E8EC-41E0-9BFC-450E76BC75E7}"/>
            </c:ext>
          </c:extLst>
        </c:ser>
        <c:dLbls>
          <c:showLegendKey val="0"/>
          <c:showVal val="0"/>
          <c:showCatName val="0"/>
          <c:showSerName val="0"/>
          <c:showPercent val="0"/>
          <c:showBubbleSize val="0"/>
        </c:dLbls>
        <c:gapWidth val="150"/>
        <c:shape val="box"/>
        <c:axId val="1508359776"/>
        <c:axId val="1508373216"/>
        <c:axId val="0"/>
      </c:bar3DChart>
      <c:catAx>
        <c:axId val="150835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73216"/>
        <c:crosses val="autoZero"/>
        <c:auto val="1"/>
        <c:lblAlgn val="ctr"/>
        <c:lblOffset val="100"/>
        <c:noMultiLvlLbl val="0"/>
      </c:catAx>
      <c:valAx>
        <c:axId val="150837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PivotTable!$E$11</c:f>
              <c:strCache>
                <c:ptCount val="1"/>
                <c:pt idx="0">
                  <c:v>Total</c:v>
                </c:pt>
              </c:strCache>
            </c:strRef>
          </c:tx>
          <c:spPr>
            <a:solidFill>
              <a:schemeClr val="accent1"/>
            </a:solidFill>
            <a:ln>
              <a:noFill/>
            </a:ln>
            <a:effectLst/>
          </c:spPr>
          <c:invertIfNegative val="0"/>
          <c:cat>
            <c:strRef>
              <c:f>PivotTable!$D$12:$D$36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PivotTable!$E$12:$E$36</c:f>
              <c:numCache>
                <c:formatCode>General</c:formatCode>
                <c:ptCount val="24"/>
                <c:pt idx="0">
                  <c:v>82499</c:v>
                </c:pt>
                <c:pt idx="1">
                  <c:v>82958</c:v>
                </c:pt>
                <c:pt idx="2">
                  <c:v>80729</c:v>
                </c:pt>
                <c:pt idx="3">
                  <c:v>90817</c:v>
                </c:pt>
                <c:pt idx="4">
                  <c:v>81721</c:v>
                </c:pt>
                <c:pt idx="5">
                  <c:v>82403</c:v>
                </c:pt>
                <c:pt idx="6">
                  <c:v>93920</c:v>
                </c:pt>
                <c:pt idx="7">
                  <c:v>64803</c:v>
                </c:pt>
                <c:pt idx="8">
                  <c:v>71504</c:v>
                </c:pt>
                <c:pt idx="9">
                  <c:v>88773</c:v>
                </c:pt>
                <c:pt idx="10">
                  <c:v>87249</c:v>
                </c:pt>
                <c:pt idx="11">
                  <c:v>85274</c:v>
                </c:pt>
                <c:pt idx="12">
                  <c:v>82315</c:v>
                </c:pt>
                <c:pt idx="13">
                  <c:v>81120</c:v>
                </c:pt>
                <c:pt idx="14">
                  <c:v>74777</c:v>
                </c:pt>
                <c:pt idx="15">
                  <c:v>86048</c:v>
                </c:pt>
                <c:pt idx="16">
                  <c:v>78938</c:v>
                </c:pt>
                <c:pt idx="17">
                  <c:v>69380</c:v>
                </c:pt>
                <c:pt idx="18">
                  <c:v>73485</c:v>
                </c:pt>
                <c:pt idx="19">
                  <c:v>87682</c:v>
                </c:pt>
                <c:pt idx="20">
                  <c:v>86590</c:v>
                </c:pt>
                <c:pt idx="21">
                  <c:v>91024</c:v>
                </c:pt>
                <c:pt idx="22">
                  <c:v>83163</c:v>
                </c:pt>
                <c:pt idx="23">
                  <c:v>81751</c:v>
                </c:pt>
              </c:numCache>
            </c:numRef>
          </c:val>
          <c:extLst>
            <c:ext xmlns:c16="http://schemas.microsoft.com/office/drawing/2014/chart" uri="{C3380CC4-5D6E-409C-BE32-E72D297353CC}">
              <c16:uniqueId val="{00000000-0E15-4766-B194-355FFF631FE5}"/>
            </c:ext>
          </c:extLst>
        </c:ser>
        <c:dLbls>
          <c:showLegendKey val="0"/>
          <c:showVal val="0"/>
          <c:showCatName val="0"/>
          <c:showSerName val="0"/>
          <c:showPercent val="0"/>
          <c:showBubbleSize val="0"/>
        </c:dLbls>
        <c:gapWidth val="219"/>
        <c:overlap val="-27"/>
        <c:axId val="1508380896"/>
        <c:axId val="1508381376"/>
      </c:barChart>
      <c:catAx>
        <c:axId val="15083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81376"/>
        <c:crosses val="autoZero"/>
        <c:auto val="1"/>
        <c:lblAlgn val="ctr"/>
        <c:lblOffset val="100"/>
        <c:noMultiLvlLbl val="0"/>
      </c:catAx>
      <c:valAx>
        <c:axId val="15083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8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[restaurant_.xlsx]PivotTable!PivotTable7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PivotTable!$K$16</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PivotTable!$J$17:$J$27</c:f>
              <c:strCache>
                <c:ptCount val="10"/>
                <c:pt idx="0">
                  <c:v>Customer_125</c:v>
                </c:pt>
                <c:pt idx="1">
                  <c:v>Customer_126</c:v>
                </c:pt>
                <c:pt idx="2">
                  <c:v>Customer_136</c:v>
                </c:pt>
                <c:pt idx="3">
                  <c:v>Customer_143</c:v>
                </c:pt>
                <c:pt idx="4">
                  <c:v>Customer_195</c:v>
                </c:pt>
                <c:pt idx="5">
                  <c:v>Customer_233</c:v>
                </c:pt>
                <c:pt idx="6">
                  <c:v>Customer_249</c:v>
                </c:pt>
                <c:pt idx="7">
                  <c:v>Customer_276</c:v>
                </c:pt>
                <c:pt idx="8">
                  <c:v>Customer_36</c:v>
                </c:pt>
                <c:pt idx="9">
                  <c:v>Customer_80</c:v>
                </c:pt>
              </c:strCache>
            </c:strRef>
          </c:cat>
          <c:val>
            <c:numRef>
              <c:f>PivotTable!$K$17:$K$27</c:f>
              <c:numCache>
                <c:formatCode>General</c:formatCode>
                <c:ptCount val="10"/>
                <c:pt idx="0">
                  <c:v>16926</c:v>
                </c:pt>
                <c:pt idx="1">
                  <c:v>20820</c:v>
                </c:pt>
                <c:pt idx="2">
                  <c:v>20785</c:v>
                </c:pt>
                <c:pt idx="3">
                  <c:v>17974</c:v>
                </c:pt>
                <c:pt idx="4">
                  <c:v>24096</c:v>
                </c:pt>
                <c:pt idx="5">
                  <c:v>20534</c:v>
                </c:pt>
                <c:pt idx="6">
                  <c:v>16890</c:v>
                </c:pt>
                <c:pt idx="7">
                  <c:v>15690</c:v>
                </c:pt>
                <c:pt idx="8">
                  <c:v>18194</c:v>
                </c:pt>
                <c:pt idx="9">
                  <c:v>15841</c:v>
                </c:pt>
              </c:numCache>
            </c:numRef>
          </c:val>
          <c:extLst>
            <c:ext xmlns:c16="http://schemas.microsoft.com/office/drawing/2014/chart" uri="{C3380CC4-5D6E-409C-BE32-E72D297353CC}">
              <c16:uniqueId val="{00000000-9970-4EA0-8BCD-2C0DC1277965}"/>
            </c:ext>
          </c:extLst>
        </c:ser>
        <c:dLbls>
          <c:showLegendKey val="0"/>
          <c:showVal val="0"/>
          <c:showCatName val="0"/>
          <c:showSerName val="0"/>
          <c:showPercent val="0"/>
          <c:showBubbleSize val="0"/>
        </c:dLbls>
        <c:gapWidth val="150"/>
        <c:shape val="box"/>
        <c:axId val="1508378976"/>
        <c:axId val="1508379456"/>
        <c:axId val="0"/>
      </c:bar3DChart>
      <c:catAx>
        <c:axId val="15083789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79456"/>
        <c:crosses val="autoZero"/>
        <c:auto val="1"/>
        <c:lblAlgn val="ctr"/>
        <c:lblOffset val="100"/>
        <c:noMultiLvlLbl val="0"/>
      </c:catAx>
      <c:valAx>
        <c:axId val="1508379456"/>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606957</xdr:colOff>
      <xdr:row>35</xdr:row>
      <xdr:rowOff>161925</xdr:rowOff>
    </xdr:to>
    <xdr:pic>
      <xdr:nvPicPr>
        <xdr:cNvPr id="2" name="Picture 1">
          <a:extLst>
            <a:ext uri="{FF2B5EF4-FFF2-40B4-BE49-F238E27FC236}">
              <a16:creationId xmlns:a16="http://schemas.microsoft.com/office/drawing/2014/main" id="{EF0AFCD0-DB0E-474C-8E5C-DABF2D3127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123182" cy="6496050"/>
        </a:xfrm>
        <a:prstGeom prst="rect">
          <a:avLst/>
        </a:prstGeom>
      </xdr:spPr>
    </xdr:pic>
    <xdr:clientData/>
  </xdr:twoCellAnchor>
  <xdr:twoCellAnchor>
    <xdr:from>
      <xdr:col>0</xdr:col>
      <xdr:colOff>0</xdr:colOff>
      <xdr:row>0</xdr:row>
      <xdr:rowOff>0</xdr:rowOff>
    </xdr:from>
    <xdr:to>
      <xdr:col>25</xdr:col>
      <xdr:colOff>600075</xdr:colOff>
      <xdr:row>35</xdr:row>
      <xdr:rowOff>152399</xdr:rowOff>
    </xdr:to>
    <xdr:sp macro="" textlink="">
      <xdr:nvSpPr>
        <xdr:cNvPr id="3" name="Rectangle 2">
          <a:extLst>
            <a:ext uri="{FF2B5EF4-FFF2-40B4-BE49-F238E27FC236}">
              <a16:creationId xmlns:a16="http://schemas.microsoft.com/office/drawing/2014/main" id="{F1982855-8B14-4A08-8068-0E867BB21FBA}"/>
            </a:ext>
          </a:extLst>
        </xdr:cNvPr>
        <xdr:cNvSpPr/>
      </xdr:nvSpPr>
      <xdr:spPr>
        <a:xfrm>
          <a:off x="0" y="0"/>
          <a:ext cx="16116300" cy="6486524"/>
        </a:xfrm>
        <a:prstGeom prst="rect">
          <a:avLst/>
        </a:prstGeom>
        <a:solidFill>
          <a:schemeClr val="dk1">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200025</xdr:colOff>
      <xdr:row>0</xdr:row>
      <xdr:rowOff>104775</xdr:rowOff>
    </xdr:from>
    <xdr:to>
      <xdr:col>9</xdr:col>
      <xdr:colOff>441960</xdr:colOff>
      <xdr:row>3</xdr:row>
      <xdr:rowOff>95250</xdr:rowOff>
    </xdr:to>
    <xdr:sp macro="" textlink="">
      <xdr:nvSpPr>
        <xdr:cNvPr id="4" name="Rectangle: Rounded Corners 3">
          <a:extLst>
            <a:ext uri="{FF2B5EF4-FFF2-40B4-BE49-F238E27FC236}">
              <a16:creationId xmlns:a16="http://schemas.microsoft.com/office/drawing/2014/main" id="{98D63DC4-3C8A-4E4D-A532-4464F598674F}"/>
            </a:ext>
          </a:extLst>
        </xdr:cNvPr>
        <xdr:cNvSpPr/>
      </xdr:nvSpPr>
      <xdr:spPr>
        <a:xfrm>
          <a:off x="200025" y="104775"/>
          <a:ext cx="6004560" cy="533400"/>
        </a:xfrm>
        <a:prstGeom prst="roundRect">
          <a:avLst/>
        </a:prstGeom>
        <a:solidFill>
          <a:schemeClr val="accent4">
            <a:alpha val="50000"/>
          </a:schemeClr>
        </a:solidFill>
        <a:ln w="38100">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400" b="1">
              <a:solidFill>
                <a:sysClr val="windowText" lastClr="000000"/>
              </a:solidFill>
            </a:rPr>
            <a:t>        Restaurant Sales Report</a:t>
          </a:r>
        </a:p>
      </xdr:txBody>
    </xdr:sp>
    <xdr:clientData/>
  </xdr:twoCellAnchor>
  <xdr:twoCellAnchor editAs="oneCell">
    <xdr:from>
      <xdr:col>1</xdr:col>
      <xdr:colOff>266700</xdr:colOff>
      <xdr:row>0</xdr:row>
      <xdr:rowOff>0</xdr:rowOff>
    </xdr:from>
    <xdr:to>
      <xdr:col>2</xdr:col>
      <xdr:colOff>396240</xdr:colOff>
      <xdr:row>4</xdr:row>
      <xdr:rowOff>15240</xdr:rowOff>
    </xdr:to>
    <xdr:pic>
      <xdr:nvPicPr>
        <xdr:cNvPr id="5" name="Graphic 4" descr="Table setting with solid fill">
          <a:extLst>
            <a:ext uri="{FF2B5EF4-FFF2-40B4-BE49-F238E27FC236}">
              <a16:creationId xmlns:a16="http://schemas.microsoft.com/office/drawing/2014/main" id="{EF2D5AEE-B5D9-4A7D-9D59-A11B025266A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52525" y="0"/>
          <a:ext cx="739140" cy="739140"/>
        </a:xfrm>
        <a:prstGeom prst="rect">
          <a:avLst/>
        </a:prstGeom>
      </xdr:spPr>
    </xdr:pic>
    <xdr:clientData/>
  </xdr:twoCellAnchor>
  <xdr:twoCellAnchor>
    <xdr:from>
      <xdr:col>0</xdr:col>
      <xdr:colOff>219075</xdr:colOff>
      <xdr:row>4</xdr:row>
      <xdr:rowOff>38100</xdr:rowOff>
    </xdr:from>
    <xdr:to>
      <xdr:col>4</xdr:col>
      <xdr:colOff>293370</xdr:colOff>
      <xdr:row>19</xdr:row>
      <xdr:rowOff>10885</xdr:rowOff>
    </xdr:to>
    <xdr:sp macro="" textlink="">
      <xdr:nvSpPr>
        <xdr:cNvPr id="6" name="Rectangle 5">
          <a:extLst>
            <a:ext uri="{FF2B5EF4-FFF2-40B4-BE49-F238E27FC236}">
              <a16:creationId xmlns:a16="http://schemas.microsoft.com/office/drawing/2014/main" id="{C9B079EA-F90A-4866-A7CB-E4CA33AA1502}"/>
            </a:ext>
          </a:extLst>
        </xdr:cNvPr>
        <xdr:cNvSpPr/>
      </xdr:nvSpPr>
      <xdr:spPr>
        <a:xfrm>
          <a:off x="219075" y="778329"/>
          <a:ext cx="2784838" cy="2748642"/>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323851</xdr:colOff>
      <xdr:row>4</xdr:row>
      <xdr:rowOff>133350</xdr:rowOff>
    </xdr:from>
    <xdr:to>
      <xdr:col>4</xdr:col>
      <xdr:colOff>180976</xdr:colOff>
      <xdr:row>18</xdr:row>
      <xdr:rowOff>32657</xdr:rowOff>
    </xdr:to>
    <xdr:graphicFrame macro="">
      <xdr:nvGraphicFramePr>
        <xdr:cNvPr id="9" name="Chart 8">
          <a:extLst>
            <a:ext uri="{FF2B5EF4-FFF2-40B4-BE49-F238E27FC236}">
              <a16:creationId xmlns:a16="http://schemas.microsoft.com/office/drawing/2014/main" id="{3E3A0494-B9BF-4E36-BFC7-92A9FFD59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198664</xdr:colOff>
      <xdr:row>19</xdr:row>
      <xdr:rowOff>118382</xdr:rowOff>
    </xdr:from>
    <xdr:to>
      <xdr:col>4</xdr:col>
      <xdr:colOff>272959</xdr:colOff>
      <xdr:row>35</xdr:row>
      <xdr:rowOff>0</xdr:rowOff>
    </xdr:to>
    <xdr:sp macro="" textlink="">
      <xdr:nvSpPr>
        <xdr:cNvPr id="14" name="Rectangle 13">
          <a:extLst>
            <a:ext uri="{FF2B5EF4-FFF2-40B4-BE49-F238E27FC236}">
              <a16:creationId xmlns:a16="http://schemas.microsoft.com/office/drawing/2014/main" id="{1DDB4079-0955-44C6-8C54-F56874D12BFB}"/>
            </a:ext>
          </a:extLst>
        </xdr:cNvPr>
        <xdr:cNvSpPr/>
      </xdr:nvSpPr>
      <xdr:spPr>
        <a:xfrm>
          <a:off x="198664" y="3634468"/>
          <a:ext cx="2784838" cy="2842532"/>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276224</xdr:colOff>
      <xdr:row>20</xdr:row>
      <xdr:rowOff>119743</xdr:rowOff>
    </xdr:from>
    <xdr:to>
      <xdr:col>4</xdr:col>
      <xdr:colOff>180974</xdr:colOff>
      <xdr:row>34</xdr:row>
      <xdr:rowOff>88446</xdr:rowOff>
    </xdr:to>
    <xdr:graphicFrame macro="">
      <xdr:nvGraphicFramePr>
        <xdr:cNvPr id="12" name="Chart 11">
          <a:extLst>
            <a:ext uri="{FF2B5EF4-FFF2-40B4-BE49-F238E27FC236}">
              <a16:creationId xmlns:a16="http://schemas.microsoft.com/office/drawing/2014/main" id="{C3C13189-0C92-4DF5-A742-CCA678EAD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57148</xdr:colOff>
      <xdr:row>0</xdr:row>
      <xdr:rowOff>123824</xdr:rowOff>
    </xdr:from>
    <xdr:to>
      <xdr:col>16</xdr:col>
      <xdr:colOff>609599</xdr:colOff>
      <xdr:row>15</xdr:row>
      <xdr:rowOff>57150</xdr:rowOff>
    </xdr:to>
    <xdr:sp macro="" textlink="">
      <xdr:nvSpPr>
        <xdr:cNvPr id="15" name="Rectangle 14">
          <a:extLst>
            <a:ext uri="{FF2B5EF4-FFF2-40B4-BE49-F238E27FC236}">
              <a16:creationId xmlns:a16="http://schemas.microsoft.com/office/drawing/2014/main" id="{3CCAB248-3F38-485D-99F5-C4C5AF42D361}"/>
            </a:ext>
          </a:extLst>
        </xdr:cNvPr>
        <xdr:cNvSpPr/>
      </xdr:nvSpPr>
      <xdr:spPr>
        <a:xfrm>
          <a:off x="6429373" y="123824"/>
          <a:ext cx="4210051" cy="2647951"/>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123824</xdr:colOff>
      <xdr:row>1</xdr:row>
      <xdr:rowOff>28574</xdr:rowOff>
    </xdr:from>
    <xdr:to>
      <xdr:col>16</xdr:col>
      <xdr:colOff>533399</xdr:colOff>
      <xdr:row>14</xdr:row>
      <xdr:rowOff>161924</xdr:rowOff>
    </xdr:to>
    <xdr:graphicFrame macro="">
      <xdr:nvGraphicFramePr>
        <xdr:cNvPr id="7" name="Chart 6">
          <a:extLst>
            <a:ext uri="{FF2B5EF4-FFF2-40B4-BE49-F238E27FC236}">
              <a16:creationId xmlns:a16="http://schemas.microsoft.com/office/drawing/2014/main" id="{438F7FBE-BA52-450F-87A0-2BB71BEC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0</xdr:row>
      <xdr:rowOff>123824</xdr:rowOff>
    </xdr:from>
    <xdr:to>
      <xdr:col>25</xdr:col>
      <xdr:colOff>476250</xdr:colOff>
      <xdr:row>15</xdr:row>
      <xdr:rowOff>66674</xdr:rowOff>
    </xdr:to>
    <xdr:sp macro="" textlink="">
      <xdr:nvSpPr>
        <xdr:cNvPr id="16" name="Rectangle 15">
          <a:extLst>
            <a:ext uri="{FF2B5EF4-FFF2-40B4-BE49-F238E27FC236}">
              <a16:creationId xmlns:a16="http://schemas.microsoft.com/office/drawing/2014/main" id="{29B4977E-7B66-4CDB-B3B9-758CEA2201BB}"/>
            </a:ext>
          </a:extLst>
        </xdr:cNvPr>
        <xdr:cNvSpPr/>
      </xdr:nvSpPr>
      <xdr:spPr>
        <a:xfrm>
          <a:off x="10734675" y="123824"/>
          <a:ext cx="5257800" cy="2657475"/>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228600</xdr:colOff>
      <xdr:row>1</xdr:row>
      <xdr:rowOff>38100</xdr:rowOff>
    </xdr:from>
    <xdr:to>
      <xdr:col>25</xdr:col>
      <xdr:colOff>342900</xdr:colOff>
      <xdr:row>14</xdr:row>
      <xdr:rowOff>123825</xdr:rowOff>
    </xdr:to>
    <xdr:graphicFrame macro="">
      <xdr:nvGraphicFramePr>
        <xdr:cNvPr id="10" name="Chart 9">
          <a:extLst>
            <a:ext uri="{FF2B5EF4-FFF2-40B4-BE49-F238E27FC236}">
              <a16:creationId xmlns:a16="http://schemas.microsoft.com/office/drawing/2014/main" id="{0F5505FF-4F1F-48EB-95B8-FA2CA855D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466725</xdr:colOff>
      <xdr:row>15</xdr:row>
      <xdr:rowOff>161924</xdr:rowOff>
    </xdr:from>
    <xdr:to>
      <xdr:col>25</xdr:col>
      <xdr:colOff>464820</xdr:colOff>
      <xdr:row>35</xdr:row>
      <xdr:rowOff>43542</xdr:rowOff>
    </xdr:to>
    <xdr:sp macro="" textlink="">
      <xdr:nvSpPr>
        <xdr:cNvPr id="17" name="Rectangle 16">
          <a:extLst>
            <a:ext uri="{FF2B5EF4-FFF2-40B4-BE49-F238E27FC236}">
              <a16:creationId xmlns:a16="http://schemas.microsoft.com/office/drawing/2014/main" id="{71BFAA21-5984-473E-BCC0-F35DC0EC77C2}"/>
            </a:ext>
          </a:extLst>
        </xdr:cNvPr>
        <xdr:cNvSpPr/>
      </xdr:nvSpPr>
      <xdr:spPr>
        <a:xfrm>
          <a:off x="12930868" y="2937781"/>
          <a:ext cx="3046095" cy="3582761"/>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571500</xdr:colOff>
      <xdr:row>16</xdr:row>
      <xdr:rowOff>104775</xdr:rowOff>
    </xdr:from>
    <xdr:to>
      <xdr:col>25</xdr:col>
      <xdr:colOff>384810</xdr:colOff>
      <xdr:row>34</xdr:row>
      <xdr:rowOff>87086</xdr:rowOff>
    </xdr:to>
    <xdr:graphicFrame macro="">
      <xdr:nvGraphicFramePr>
        <xdr:cNvPr id="8" name="Chart 7">
          <a:extLst>
            <a:ext uri="{FF2B5EF4-FFF2-40B4-BE49-F238E27FC236}">
              <a16:creationId xmlns:a16="http://schemas.microsoft.com/office/drawing/2014/main" id="{1E267E05-4D98-4D70-A2BB-4DD9F939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295275</xdr:colOff>
      <xdr:row>15</xdr:row>
      <xdr:rowOff>171450</xdr:rowOff>
    </xdr:from>
    <xdr:to>
      <xdr:col>20</xdr:col>
      <xdr:colOff>340995</xdr:colOff>
      <xdr:row>26</xdr:row>
      <xdr:rowOff>133350</xdr:rowOff>
    </xdr:to>
    <xdr:sp macro="" textlink="">
      <xdr:nvSpPr>
        <xdr:cNvPr id="18" name="Rectangle 17">
          <a:extLst>
            <a:ext uri="{FF2B5EF4-FFF2-40B4-BE49-F238E27FC236}">
              <a16:creationId xmlns:a16="http://schemas.microsoft.com/office/drawing/2014/main" id="{DC1F1B51-3AA5-456B-9200-A4A4A443AF1D}"/>
            </a:ext>
          </a:extLst>
        </xdr:cNvPr>
        <xdr:cNvSpPr/>
      </xdr:nvSpPr>
      <xdr:spPr>
        <a:xfrm>
          <a:off x="9105900" y="2886075"/>
          <a:ext cx="3703320" cy="1952625"/>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400050</xdr:colOff>
      <xdr:row>16</xdr:row>
      <xdr:rowOff>57150</xdr:rowOff>
    </xdr:from>
    <xdr:to>
      <xdr:col>20</xdr:col>
      <xdr:colOff>190499</xdr:colOff>
      <xdr:row>26</xdr:row>
      <xdr:rowOff>38100</xdr:rowOff>
    </xdr:to>
    <xdr:graphicFrame macro="">
      <xdr:nvGraphicFramePr>
        <xdr:cNvPr id="11" name="Chart 10">
          <a:extLst>
            <a:ext uri="{FF2B5EF4-FFF2-40B4-BE49-F238E27FC236}">
              <a16:creationId xmlns:a16="http://schemas.microsoft.com/office/drawing/2014/main" id="{E88D9BF7-D92F-47D2-B84E-8BEBB24E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66674</xdr:colOff>
      <xdr:row>15</xdr:row>
      <xdr:rowOff>171450</xdr:rowOff>
    </xdr:from>
    <xdr:to>
      <xdr:col>14</xdr:col>
      <xdr:colOff>171449</xdr:colOff>
      <xdr:row>34</xdr:row>
      <xdr:rowOff>174171</xdr:rowOff>
    </xdr:to>
    <xdr:sp macro="" textlink="">
      <xdr:nvSpPr>
        <xdr:cNvPr id="19" name="Rectangle 18">
          <a:extLst>
            <a:ext uri="{FF2B5EF4-FFF2-40B4-BE49-F238E27FC236}">
              <a16:creationId xmlns:a16="http://schemas.microsoft.com/office/drawing/2014/main" id="{A8FD9E50-0437-4715-AB4C-576FD1F390D3}"/>
            </a:ext>
          </a:extLst>
        </xdr:cNvPr>
        <xdr:cNvSpPr/>
      </xdr:nvSpPr>
      <xdr:spPr>
        <a:xfrm>
          <a:off x="5215617" y="2947307"/>
          <a:ext cx="3762375" cy="3518807"/>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149679</xdr:colOff>
      <xdr:row>16</xdr:row>
      <xdr:rowOff>163286</xdr:rowOff>
    </xdr:from>
    <xdr:to>
      <xdr:col>14</xdr:col>
      <xdr:colOff>44904</xdr:colOff>
      <xdr:row>34</xdr:row>
      <xdr:rowOff>36738</xdr:rowOff>
    </xdr:to>
    <xdr:graphicFrame macro="">
      <xdr:nvGraphicFramePr>
        <xdr:cNvPr id="13" name="Chart 12">
          <a:extLst>
            <a:ext uri="{FF2B5EF4-FFF2-40B4-BE49-F238E27FC236}">
              <a16:creationId xmlns:a16="http://schemas.microsoft.com/office/drawing/2014/main" id="{AE8A3FA7-43A8-4623-B8E2-59B79C55A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371475</xdr:colOff>
      <xdr:row>4</xdr:row>
      <xdr:rowOff>28575</xdr:rowOff>
    </xdr:from>
    <xdr:to>
      <xdr:col>9</xdr:col>
      <xdr:colOff>600075</xdr:colOff>
      <xdr:row>15</xdr:row>
      <xdr:rowOff>85725</xdr:rowOff>
    </xdr:to>
    <xdr:sp macro="" textlink="">
      <xdr:nvSpPr>
        <xdr:cNvPr id="20" name="Rectangle: Diagonal Corners Rounded 19">
          <a:extLst>
            <a:ext uri="{FF2B5EF4-FFF2-40B4-BE49-F238E27FC236}">
              <a16:creationId xmlns:a16="http://schemas.microsoft.com/office/drawing/2014/main" id="{5DC568CE-9A80-4CB3-8BE2-4B8F90AB77D7}"/>
            </a:ext>
          </a:extLst>
        </xdr:cNvPr>
        <xdr:cNvSpPr/>
      </xdr:nvSpPr>
      <xdr:spPr>
        <a:xfrm>
          <a:off x="3086100" y="752475"/>
          <a:ext cx="3276600" cy="2047875"/>
        </a:xfrm>
        <a:prstGeom prst="round2DiagRect">
          <a:avLst>
            <a:gd name="adj1" fmla="val 0"/>
            <a:gd name="adj2" fmla="val 25814"/>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4</xdr:row>
      <xdr:rowOff>104775</xdr:rowOff>
    </xdr:from>
    <xdr:to>
      <xdr:col>7</xdr:col>
      <xdr:colOff>114300</xdr:colOff>
      <xdr:row>7</xdr:row>
      <xdr:rowOff>114300</xdr:rowOff>
    </xdr:to>
    <xdr:sp macro="" textlink="">
      <xdr:nvSpPr>
        <xdr:cNvPr id="21" name="Rectangle: Rounded Corners 20">
          <a:extLst>
            <a:ext uri="{FF2B5EF4-FFF2-40B4-BE49-F238E27FC236}">
              <a16:creationId xmlns:a16="http://schemas.microsoft.com/office/drawing/2014/main" id="{DA0479A2-95F8-48C3-80D2-7AB9BD6DFE06}"/>
            </a:ext>
          </a:extLst>
        </xdr:cNvPr>
        <xdr:cNvSpPr/>
      </xdr:nvSpPr>
      <xdr:spPr>
        <a:xfrm>
          <a:off x="3324225" y="828675"/>
          <a:ext cx="1333500" cy="552450"/>
        </a:xfrm>
        <a:prstGeom prst="roundRect">
          <a:avLst/>
        </a:prstGeom>
        <a:solidFill>
          <a:schemeClr val="accent6">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tx1"/>
              </a:solidFill>
            </a:rPr>
            <a:t>Total</a:t>
          </a:r>
          <a:r>
            <a:rPr lang="en-IN" sz="1600" b="1">
              <a:solidFill>
                <a:schemeClr val="tx1"/>
              </a:solidFill>
            </a:rPr>
            <a:t> Sales:</a:t>
          </a:r>
        </a:p>
      </xdr:txBody>
    </xdr:sp>
    <xdr:clientData/>
  </xdr:twoCellAnchor>
  <xdr:twoCellAnchor>
    <xdr:from>
      <xdr:col>4</xdr:col>
      <xdr:colOff>600076</xdr:colOff>
      <xdr:row>7</xdr:row>
      <xdr:rowOff>171450</xdr:rowOff>
    </xdr:from>
    <xdr:to>
      <xdr:col>7</xdr:col>
      <xdr:colOff>114300</xdr:colOff>
      <xdr:row>10</xdr:row>
      <xdr:rowOff>152400</xdr:rowOff>
    </xdr:to>
    <xdr:sp macro="" textlink="">
      <xdr:nvSpPr>
        <xdr:cNvPr id="22" name="Rectangle: Rounded Corners 21">
          <a:extLst>
            <a:ext uri="{FF2B5EF4-FFF2-40B4-BE49-F238E27FC236}">
              <a16:creationId xmlns:a16="http://schemas.microsoft.com/office/drawing/2014/main" id="{4BE47543-3A09-417A-846A-67150C9EF21D}"/>
            </a:ext>
          </a:extLst>
        </xdr:cNvPr>
        <xdr:cNvSpPr/>
      </xdr:nvSpPr>
      <xdr:spPr>
        <a:xfrm>
          <a:off x="3314701" y="1438275"/>
          <a:ext cx="1343024" cy="523875"/>
        </a:xfrm>
        <a:prstGeom prst="roundRect">
          <a:avLst/>
        </a:prstGeom>
        <a:solidFill>
          <a:schemeClr val="accent6">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tx1"/>
              </a:solidFill>
            </a:rPr>
            <a:t>Total Orders:</a:t>
          </a:r>
        </a:p>
      </xdr:txBody>
    </xdr:sp>
    <xdr:clientData/>
  </xdr:twoCellAnchor>
  <xdr:twoCellAnchor>
    <xdr:from>
      <xdr:col>5</xdr:col>
      <xdr:colOff>9524</xdr:colOff>
      <xdr:row>11</xdr:row>
      <xdr:rowOff>47625</xdr:rowOff>
    </xdr:from>
    <xdr:to>
      <xdr:col>7</xdr:col>
      <xdr:colOff>114299</xdr:colOff>
      <xdr:row>14</xdr:row>
      <xdr:rowOff>19050</xdr:rowOff>
    </xdr:to>
    <xdr:sp macro="" textlink="">
      <xdr:nvSpPr>
        <xdr:cNvPr id="23" name="Rectangle: Rounded Corners 22">
          <a:extLst>
            <a:ext uri="{FF2B5EF4-FFF2-40B4-BE49-F238E27FC236}">
              <a16:creationId xmlns:a16="http://schemas.microsoft.com/office/drawing/2014/main" id="{84C15F6E-0050-44FB-AA55-9239BABF38BA}"/>
            </a:ext>
          </a:extLst>
        </xdr:cNvPr>
        <xdr:cNvSpPr/>
      </xdr:nvSpPr>
      <xdr:spPr>
        <a:xfrm>
          <a:off x="3333749" y="2038350"/>
          <a:ext cx="1323975" cy="514350"/>
        </a:xfrm>
        <a:prstGeom prst="roundRect">
          <a:avLst/>
        </a:prstGeom>
        <a:solidFill>
          <a:schemeClr val="accent6">
            <a:alpha val="50000"/>
          </a:schemeClr>
        </a:solidFill>
        <a:ln>
          <a:solidFill>
            <a:schemeClr val="tx1">
              <a:lumMod val="95000"/>
              <a:lumOff val="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tx1"/>
              </a:solidFill>
            </a:rPr>
            <a:t>Quantity:</a:t>
          </a:r>
        </a:p>
      </xdr:txBody>
    </xdr:sp>
    <xdr:clientData/>
  </xdr:twoCellAnchor>
  <xdr:twoCellAnchor>
    <xdr:from>
      <xdr:col>7</xdr:col>
      <xdr:colOff>209550</xdr:colOff>
      <xdr:row>4</xdr:row>
      <xdr:rowOff>104775</xdr:rowOff>
    </xdr:from>
    <xdr:to>
      <xdr:col>9</xdr:col>
      <xdr:colOff>152400</xdr:colOff>
      <xdr:row>7</xdr:row>
      <xdr:rowOff>104775</xdr:rowOff>
    </xdr:to>
    <xdr:sp macro="" textlink="PivotTable!B18">
      <xdr:nvSpPr>
        <xdr:cNvPr id="25" name="Rectangle: Rounded Corners 24">
          <a:extLst>
            <a:ext uri="{FF2B5EF4-FFF2-40B4-BE49-F238E27FC236}">
              <a16:creationId xmlns:a16="http://schemas.microsoft.com/office/drawing/2014/main" id="{27FBC397-F3A0-40C2-82C5-4B2E39EB1BB8}"/>
            </a:ext>
          </a:extLst>
        </xdr:cNvPr>
        <xdr:cNvSpPr/>
      </xdr:nvSpPr>
      <xdr:spPr>
        <a:xfrm>
          <a:off x="4752975" y="828675"/>
          <a:ext cx="1162050" cy="542925"/>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A4FA4221-C6AC-41EB-85D3-84B0DDB015C8}" type="TxLink">
            <a:rPr lang="en-US" sz="1200" b="1" i="0" u="none" strike="noStrike">
              <a:solidFill>
                <a:srgbClr val="000000"/>
              </a:solidFill>
              <a:latin typeface="Calibri"/>
              <a:ea typeface="Calibri"/>
              <a:cs typeface="Calibri"/>
            </a:rPr>
            <a:pPr algn="ctr"/>
            <a:t>1968923</a:t>
          </a:fld>
          <a:endParaRPr lang="en-IN" sz="1200" b="1">
            <a:solidFill>
              <a:schemeClr val="tx1"/>
            </a:solidFill>
          </a:endParaRPr>
        </a:p>
      </xdr:txBody>
    </xdr:sp>
    <xdr:clientData/>
  </xdr:twoCellAnchor>
  <xdr:twoCellAnchor>
    <xdr:from>
      <xdr:col>7</xdr:col>
      <xdr:colOff>219075</xdr:colOff>
      <xdr:row>8</xdr:row>
      <xdr:rowOff>9525</xdr:rowOff>
    </xdr:from>
    <xdr:to>
      <xdr:col>9</xdr:col>
      <xdr:colOff>161926</xdr:colOff>
      <xdr:row>10</xdr:row>
      <xdr:rowOff>161925</xdr:rowOff>
    </xdr:to>
    <xdr:sp macro="" textlink="PivotTable!B19">
      <xdr:nvSpPr>
        <xdr:cNvPr id="26" name="Rectangle: Rounded Corners 25">
          <a:extLst>
            <a:ext uri="{FF2B5EF4-FFF2-40B4-BE49-F238E27FC236}">
              <a16:creationId xmlns:a16="http://schemas.microsoft.com/office/drawing/2014/main" id="{49C547D1-FB51-4755-949A-E73117C1E1C7}"/>
            </a:ext>
          </a:extLst>
        </xdr:cNvPr>
        <xdr:cNvSpPr/>
      </xdr:nvSpPr>
      <xdr:spPr>
        <a:xfrm>
          <a:off x="4762500" y="1457325"/>
          <a:ext cx="1162051" cy="514350"/>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2F070790-59E6-4486-BB1E-3B8CB7EEF5B6}" type="TxLink">
            <a:rPr lang="en-US" sz="1200" b="1" i="0" u="none" strike="noStrike">
              <a:solidFill>
                <a:srgbClr val="000000"/>
              </a:solidFill>
              <a:latin typeface="Calibri"/>
              <a:ea typeface="Calibri"/>
              <a:cs typeface="Calibri"/>
            </a:rPr>
            <a:pPr marL="0" indent="0" algn="ctr"/>
            <a:t>1200</a:t>
          </a:fld>
          <a:endParaRPr lang="en-IN" sz="1200" b="1" i="0" u="none" strike="noStrike">
            <a:solidFill>
              <a:srgbClr val="000000"/>
            </a:solidFill>
            <a:latin typeface="Calibri"/>
            <a:ea typeface="Calibri"/>
            <a:cs typeface="Calibri"/>
          </a:endParaRPr>
        </a:p>
      </xdr:txBody>
    </xdr:sp>
    <xdr:clientData/>
  </xdr:twoCellAnchor>
  <xdr:twoCellAnchor>
    <xdr:from>
      <xdr:col>7</xdr:col>
      <xdr:colOff>219075</xdr:colOff>
      <xdr:row>11</xdr:row>
      <xdr:rowOff>76200</xdr:rowOff>
    </xdr:from>
    <xdr:to>
      <xdr:col>9</xdr:col>
      <xdr:colOff>171450</xdr:colOff>
      <xdr:row>14</xdr:row>
      <xdr:rowOff>19050</xdr:rowOff>
    </xdr:to>
    <xdr:sp macro="" textlink="PivotTable!B21">
      <xdr:nvSpPr>
        <xdr:cNvPr id="27" name="Rectangle: Rounded Corners 26">
          <a:extLst>
            <a:ext uri="{FF2B5EF4-FFF2-40B4-BE49-F238E27FC236}">
              <a16:creationId xmlns:a16="http://schemas.microsoft.com/office/drawing/2014/main" id="{51D35037-9A94-4C46-81D3-D4CEF86352A3}"/>
            </a:ext>
          </a:extLst>
        </xdr:cNvPr>
        <xdr:cNvSpPr/>
      </xdr:nvSpPr>
      <xdr:spPr>
        <a:xfrm>
          <a:off x="4762500" y="2066925"/>
          <a:ext cx="1171575" cy="485775"/>
        </a:xfrm>
        <a:prstGeom prst="roundRect">
          <a:avLst/>
        </a:prstGeom>
        <a:solidFill>
          <a:schemeClr val="accent6">
            <a:alpha val="5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CF46F58E-0171-454D-999C-066DD421922D}" type="TxLink">
            <a:rPr lang="en-US" sz="1200" b="1" i="0" u="none" strike="noStrike">
              <a:solidFill>
                <a:srgbClr val="000000"/>
              </a:solidFill>
              <a:latin typeface="Calibri"/>
              <a:ea typeface="Calibri"/>
              <a:cs typeface="Calibri"/>
            </a:rPr>
            <a:pPr marL="0" indent="0" algn="ctr"/>
            <a:t>3587</a:t>
          </a:fld>
          <a:endParaRPr lang="en-IN" sz="1200" b="1" i="0" u="none" strike="noStrike">
            <a:solidFill>
              <a:srgbClr val="000000"/>
            </a:solidFill>
            <a:latin typeface="Calibri"/>
            <a:ea typeface="Calibri"/>
            <a:cs typeface="Calibri"/>
          </a:endParaRPr>
        </a:p>
      </xdr:txBody>
    </xdr:sp>
    <xdr:clientData/>
  </xdr:twoCellAnchor>
  <xdr:twoCellAnchor editAs="oneCell">
    <xdr:from>
      <xdr:col>4</xdr:col>
      <xdr:colOff>410936</xdr:colOff>
      <xdr:row>16</xdr:row>
      <xdr:rowOff>54429</xdr:rowOff>
    </xdr:from>
    <xdr:to>
      <xdr:col>7</xdr:col>
      <xdr:colOff>511628</xdr:colOff>
      <xdr:row>34</xdr:row>
      <xdr:rowOff>159203</xdr:rowOff>
    </xdr:to>
    <mc:AlternateContent xmlns:mc="http://schemas.openxmlformats.org/markup-compatibility/2006">
      <mc:Choice xmlns:a14="http://schemas.microsoft.com/office/drawing/2010/main" Requires="a14">
        <xdr:graphicFrame macro="">
          <xdr:nvGraphicFramePr>
            <xdr:cNvPr id="28" name="Date (Month) 1">
              <a:extLst>
                <a:ext uri="{FF2B5EF4-FFF2-40B4-BE49-F238E27FC236}">
                  <a16:creationId xmlns:a16="http://schemas.microsoft.com/office/drawing/2014/main" id="{CA642CAB-C40D-45A1-9E39-CC908008B6A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121479" y="3015343"/>
              <a:ext cx="1929492" cy="3435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27</xdr:row>
      <xdr:rowOff>57150</xdr:rowOff>
    </xdr:from>
    <xdr:to>
      <xdr:col>17</xdr:col>
      <xdr:colOff>304800</xdr:colOff>
      <xdr:row>35</xdr:row>
      <xdr:rowOff>19050</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168AF7F4-DE88-4ED3-93EC-C3B1815D06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11343" y="5053693"/>
              <a:ext cx="1828800" cy="14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374196</xdr:colOff>
      <xdr:row>27</xdr:row>
      <xdr:rowOff>55789</xdr:rowOff>
    </xdr:from>
    <xdr:to>
      <xdr:col>20</xdr:col>
      <xdr:colOff>374196</xdr:colOff>
      <xdr:row>35</xdr:row>
      <xdr:rowOff>65314</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97C2935A-3217-40F4-BA42-CD6F77306A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09539" y="5052332"/>
              <a:ext cx="1828800" cy="1489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66898151" createdVersion="5" refreshedVersion="8" minRefreshableVersion="3" recordCount="0" supportSubquery="1" supportAdvancedDrill="1" xr:uid="{A514DC7F-CFED-43BB-A817-677F53A89B42}">
  <cacheSource type="external" connectionId="1"/>
  <cacheFields count="2">
    <cacheField name="[Measures].[Sum of Sales]" caption="Sum of Sales" numFmtId="0" hierarchy="19" level="32767"/>
    <cacheField name="[resturant].[Date (Month)].[Date (Month)]" caption="Date (Month)" numFmtId="0" hierarchy="13" level="1">
      <sharedItems count="12">
        <s v="Jan"/>
        <s v="Feb"/>
        <s v="Mar"/>
        <s v="Apr"/>
        <s v="May"/>
        <s v="Jun"/>
        <s v="Jul"/>
        <s v="Aug"/>
        <s v="Sep"/>
        <s v="Oct"/>
        <s v="Nov"/>
        <s v="Dec"/>
      </sharedItems>
    </cacheField>
  </cacheFields>
  <cacheHierarchies count="24">
    <cacheHierarchy uniqueName="[resturant].[OrderID]" caption="OrderID" attribute="1" defaultMemberUniqueName="[resturant].[OrderID].[All]" allUniqueName="[resturant].[OrderID].[All]" dimensionUniqueName="[resturant]" displayFolder="" count="2" memberValueDatatype="20" unbalanced="0"/>
    <cacheHierarchy uniqueName="[resturant].[Time]" caption="Time" attribute="1" time="1" defaultMemberUniqueName="[resturant].[Time].[All]" allUniqueName="[resturant].[Time].[All]" dimensionUniqueName="[resturant]" displayFolder="" count="2" memberValueDatatype="7" unbalanced="0"/>
    <cacheHierarchy uniqueName="[resturant].[Date]" caption="Date" attribute="1" time="1" defaultMemberUniqueName="[resturant].[Date].[All]" allUniqueName="[resturant].[Date].[All]" dimensionUniqueName="[resturant]" displayFolder="" count="2" memberValueDatatype="7" unbalanced="0"/>
    <cacheHierarchy uniqueName="[resturant].[Customer]" caption="Customer" attribute="1" defaultMemberUniqueName="[resturant].[Customer].[All]" allUniqueName="[resturant].[Customer].[All]" dimensionUniqueName="[resturant]" displayFolder="" count="2"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2" memberValueDatatype="130" unbalanced="0"/>
    <cacheHierarchy uniqueName="[resturant].[Quantity]" caption="Quantity" attribute="1" defaultMemberUniqueName="[resturant].[Quantity].[All]" allUniqueName="[resturant].[Quantity].[All]" dimensionUniqueName="[resturant]" displayFolder="" count="2" memberValueDatatype="20" unbalanced="0"/>
    <cacheHierarchy uniqueName="[resturant].[Price]" caption="Price" attribute="1" defaultMemberUniqueName="[resturant].[Price].[All]" allUniqueName="[resturant].[Price].[All]" dimensionUniqueName="[resturant]" displayFolder="" count="2" memberValueDatatype="20" unbalanced="0"/>
    <cacheHierarchy uniqueName="[resturant].[Sales]" caption="Sales" attribute="1" defaultMemberUniqueName="[resturant].[Sales].[All]" allUniqueName="[resturant].[Sales].[All]" dimensionUniqueName="[resturant]" displayFolder="" count="2" memberValueDatatype="20" unbalanced="0"/>
    <cacheHierarchy uniqueName="[resturant].[Column2]" caption="Column2" attribute="1" defaultMemberUniqueName="[resturant].[Column2].[All]" allUniqueName="[resturant].[Column2].[All]" dimensionUniqueName="[resturant]" displayFolder="" count="2" memberValueDatatype="130" unbalanced="0"/>
    <cacheHierarchy uniqueName="[resturant].[Column3]" caption="Column3" attribute="1" defaultMemberUniqueName="[resturant].[Column3].[All]" allUniqueName="[resturant].[Column3].[All]" dimensionUniqueName="[resturant]" displayFolder="" count="2" memberValueDatatype="130" unbalanced="0"/>
    <cacheHierarchy uniqueName="[resturant].[Column4]" caption="Column4" attribute="1" defaultMemberUniqueName="[resturant].[Column4].[All]" allUniqueName="[resturant].[Column4].[All]" dimensionUniqueName="[resturant]" displayFolder="" count="2"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1"/>
      </fieldsUsage>
    </cacheHierarchy>
    <cacheHierarchy uniqueName="[resturant].[Time (Month)]" caption="Time (Month)" attribute="1" defaultMemberUniqueName="[resturant].[Time (Month)].[All]" allUniqueName="[resturant].[Time (Month)].[All]" dimensionUniqueName="[resturant]" displayFolder="" count="2" memberValueDatatype="130" unbalanced="0"/>
    <cacheHierarchy uniqueName="[resturant].[Date (Month Index)]" caption="Date (Month Index)" attribute="1" defaultMemberUniqueName="[resturant].[Date (Month Index)].[All]" allUniqueName="[resturant].[Date (Month Index)].[All]" dimensionUniqueName="[resturant]" displayFolder="" count="2" memberValueDatatype="20" unbalanced="0" hidden="1"/>
    <cacheHierarchy uniqueName="[resturant].[Time (Month Index)]" caption="Time (Month Index)" attribute="1" defaultMemberUniqueName="[resturant].[Time (Month Index)].[All]" allUniqueName="[resturant].[Time (Month Index)].[All]" dimensionUniqueName="[resturant]" displayFolder="" count="2"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67476852" createdVersion="5" refreshedVersion="8" minRefreshableVersion="3" recordCount="0" supportSubquery="1" supportAdvancedDrill="1" xr:uid="{D762AD18-0EBB-41FF-B014-4C9A8492C9E5}">
  <cacheSource type="external" connectionId="1"/>
  <cacheFields count="3">
    <cacheField name="[Measures].[Sum of Sales]" caption="Sum of Sales" numFmtId="0" hierarchy="19" level="32767"/>
    <cacheField name="[resturant].[Region].[Region]" caption="Region" numFmtId="0" hierarchy="4" level="1">
      <sharedItems count="4">
        <s v="East"/>
        <s v="North"/>
        <s v="South"/>
        <s v="West"/>
      </sharedItems>
    </cacheField>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2" memberValueDatatype="20" unbalanced="0"/>
    <cacheHierarchy uniqueName="[resturant].[Time]" caption="Time" attribute="1" time="1" defaultMemberUniqueName="[resturant].[Time].[All]" allUniqueName="[resturant].[Time].[All]" dimensionUniqueName="[resturant]" displayFolder="" count="2" memberValueDatatype="7" unbalanced="0"/>
    <cacheHierarchy uniqueName="[resturant].[Date]" caption="Date" attribute="1" time="1" defaultMemberUniqueName="[resturant].[Date].[All]" allUniqueName="[resturant].[Date].[All]" dimensionUniqueName="[resturant]" displayFolder="" count="2" memberValueDatatype="7" unbalanced="0"/>
    <cacheHierarchy uniqueName="[resturant].[Customer]" caption="Customer" attribute="1" defaultMemberUniqueName="[resturant].[Customer].[All]" allUniqueName="[resturant].[Customer].[All]" dimensionUniqueName="[resturant]" displayFolder="" count="2" memberValueDatatype="130" unbalanced="0"/>
    <cacheHierarchy uniqueName="[resturant].[Region]" caption="Region" attribute="1" defaultMemberUniqueName="[resturant].[Region].[All]" allUniqueName="[resturant].[Region].[All]" dimensionUniqueName="[resturant]" displayFolder="" count="2" memberValueDatatype="130" unbalanced="0">
      <fieldsUsage count="2">
        <fieldUsage x="-1"/>
        <fieldUsage x="1"/>
      </fieldsUsage>
    </cacheHierarchy>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2" memberValueDatatype="130" unbalanced="0"/>
    <cacheHierarchy uniqueName="[resturant].[Quantity]" caption="Quantity" attribute="1" defaultMemberUniqueName="[resturant].[Quantity].[All]" allUniqueName="[resturant].[Quantity].[All]" dimensionUniqueName="[resturant]" displayFolder="" count="2" memberValueDatatype="20" unbalanced="0"/>
    <cacheHierarchy uniqueName="[resturant].[Price]" caption="Price" attribute="1" defaultMemberUniqueName="[resturant].[Price].[All]" allUniqueName="[resturant].[Price].[All]" dimensionUniqueName="[resturant]" displayFolder="" count="2" memberValueDatatype="20" unbalanced="0"/>
    <cacheHierarchy uniqueName="[resturant].[Sales]" caption="Sales" attribute="1" defaultMemberUniqueName="[resturant].[Sales].[All]" allUniqueName="[resturant].[Sales].[All]" dimensionUniqueName="[resturant]" displayFolder="" count="2" memberValueDatatype="20" unbalanced="0"/>
    <cacheHierarchy uniqueName="[resturant].[Column2]" caption="Column2" attribute="1" defaultMemberUniqueName="[resturant].[Column2].[All]" allUniqueName="[resturant].[Column2].[All]" dimensionUniqueName="[resturant]" displayFolder="" count="2" memberValueDatatype="130" unbalanced="0"/>
    <cacheHierarchy uniqueName="[resturant].[Column3]" caption="Column3" attribute="1" defaultMemberUniqueName="[resturant].[Column3].[All]" allUniqueName="[resturant].[Column3].[All]" dimensionUniqueName="[resturant]" displayFolder="" count="2" memberValueDatatype="130" unbalanced="0"/>
    <cacheHierarchy uniqueName="[resturant].[Column4]" caption="Column4" attribute="1" defaultMemberUniqueName="[resturant].[Column4].[All]" allUniqueName="[resturant].[Column4].[All]" dimensionUniqueName="[resturant]" displayFolder="" count="2"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2" memberValueDatatype="130" unbalanced="0"/>
    <cacheHierarchy uniqueName="[resturant].[Date (Month Index)]" caption="Date (Month Index)" attribute="1" defaultMemberUniqueName="[resturant].[Date (Month Index)].[All]" allUniqueName="[resturant].[Date (Month Index)].[All]" dimensionUniqueName="[resturant]" displayFolder="" count="2" memberValueDatatype="20" unbalanced="0" hidden="1"/>
    <cacheHierarchy uniqueName="[resturant].[Time (Month Index)]" caption="Time (Month Index)" attribute="1" defaultMemberUniqueName="[resturant].[Time (Month Index)].[All]" allUniqueName="[resturant].[Time (Month Index)].[All]" dimensionUniqueName="[resturant]" displayFolder="" count="2"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68055552" createdVersion="5" refreshedVersion="8" minRefreshableVersion="3" recordCount="0" supportSubquery="1" supportAdvancedDrill="1" xr:uid="{24E803F1-6DE5-43B7-9EC0-46CED380DD96}">
  <cacheSource type="external" connectionId="1"/>
  <cacheFields count="3">
    <cacheField name="[Measures].[Sum of Sales]" caption="Sum of Sales" numFmtId="0" hierarchy="19" level="32767"/>
    <cacheField name="[resturant].[Category].[Category]" caption="Category" numFmtId="0" hierarchy="5" level="1">
      <sharedItems count="5">
        <s v="Asian"/>
        <s v="Continental"/>
        <s v="Fast Food"/>
        <s v="Healthy"/>
        <s v="Main Course"/>
      </sharedItems>
    </cacheField>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2" memberValueDatatype="20" unbalanced="0"/>
    <cacheHierarchy uniqueName="[resturant].[Time]" caption="Time" attribute="1" time="1" defaultMemberUniqueName="[resturant].[Time].[All]" allUniqueName="[resturant].[Time].[All]" dimensionUniqueName="[resturant]" displayFolder="" count="2" memberValueDatatype="7" unbalanced="0"/>
    <cacheHierarchy uniqueName="[resturant].[Date]" caption="Date" attribute="1" time="1" defaultMemberUniqueName="[resturant].[Date].[All]" allUniqueName="[resturant].[Date].[All]" dimensionUniqueName="[resturant]" displayFolder="" count="2" memberValueDatatype="7" unbalanced="0"/>
    <cacheHierarchy uniqueName="[resturant].[Customer]" caption="Customer" attribute="1" defaultMemberUniqueName="[resturant].[Customer].[All]" allUniqueName="[resturant].[Customer].[All]" dimensionUniqueName="[resturant]" displayFolder="" count="2"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fieldsUsage count="2">
        <fieldUsage x="-1"/>
        <fieldUsage x="1"/>
      </fieldsUsage>
    </cacheHierarchy>
    <cacheHierarchy uniqueName="[resturant].[MenuItem]" caption="MenuItem" attribute="1" defaultMemberUniqueName="[resturant].[MenuItem].[All]" allUniqueName="[resturant].[MenuItem].[All]" dimensionUniqueName="[resturant]" displayFolder="" count="2" memberValueDatatype="130" unbalanced="0"/>
    <cacheHierarchy uniqueName="[resturant].[Quantity]" caption="Quantity" attribute="1" defaultMemberUniqueName="[resturant].[Quantity].[All]" allUniqueName="[resturant].[Quantity].[All]" dimensionUniqueName="[resturant]" displayFolder="" count="2" memberValueDatatype="20" unbalanced="0"/>
    <cacheHierarchy uniqueName="[resturant].[Price]" caption="Price" attribute="1" defaultMemberUniqueName="[resturant].[Price].[All]" allUniqueName="[resturant].[Price].[All]" dimensionUniqueName="[resturant]" displayFolder="" count="2" memberValueDatatype="20" unbalanced="0"/>
    <cacheHierarchy uniqueName="[resturant].[Sales]" caption="Sales" attribute="1" defaultMemberUniqueName="[resturant].[Sales].[All]" allUniqueName="[resturant].[Sales].[All]" dimensionUniqueName="[resturant]" displayFolder="" count="2" memberValueDatatype="20" unbalanced="0"/>
    <cacheHierarchy uniqueName="[resturant].[Column2]" caption="Column2" attribute="1" defaultMemberUniqueName="[resturant].[Column2].[All]" allUniqueName="[resturant].[Column2].[All]" dimensionUniqueName="[resturant]" displayFolder="" count="2" memberValueDatatype="130" unbalanced="0"/>
    <cacheHierarchy uniqueName="[resturant].[Column3]" caption="Column3" attribute="1" defaultMemberUniqueName="[resturant].[Column3].[All]" allUniqueName="[resturant].[Column3].[All]" dimensionUniqueName="[resturant]" displayFolder="" count="2" memberValueDatatype="130" unbalanced="0"/>
    <cacheHierarchy uniqueName="[resturant].[Column4]" caption="Column4" attribute="1" defaultMemberUniqueName="[resturant].[Column4].[All]" allUniqueName="[resturant].[Column4].[All]" dimensionUniqueName="[resturant]" displayFolder="" count="2"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2" memberValueDatatype="130" unbalanced="0"/>
    <cacheHierarchy uniqueName="[resturant].[Date (Month Index)]" caption="Date (Month Index)" attribute="1" defaultMemberUniqueName="[resturant].[Date (Month Index)].[All]" allUniqueName="[resturant].[Date (Month Index)].[All]" dimensionUniqueName="[resturant]" displayFolder="" count="2" memberValueDatatype="20" unbalanced="0" hidden="1"/>
    <cacheHierarchy uniqueName="[resturant].[Time (Month Index)]" caption="Time (Month Index)" attribute="1" defaultMemberUniqueName="[resturant].[Time (Month Index)].[All]" allUniqueName="[resturant].[Time (Month Index)].[All]" dimensionUniqueName="[resturant]" displayFolder="" count="2"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68981483" createdVersion="5" refreshedVersion="8" minRefreshableVersion="3" recordCount="0" supportSubquery="1" supportAdvancedDrill="1" xr:uid="{2F701D6C-D3ED-42F8-9B43-26F3FECCCFE0}">
  <cacheSource type="external" connectionId="1"/>
  <cacheFields count="3">
    <cacheField name="[Measures].[Sum of Sales]" caption="Sum of Sales" numFmtId="0" hierarchy="19" level="32767"/>
    <cacheField name="[resturant].[MenuItem].[MenuItem]" caption="MenuItem" numFmtId="0" hierarchy="6" level="1">
      <sharedItems count="10">
        <s v="Burger"/>
        <s v="Curry"/>
        <s v="Noodles"/>
        <s v="Pasta"/>
        <s v="Pizza"/>
        <s v="Salad"/>
        <s v="Sandwich"/>
        <s v="Steak"/>
        <s v="Sushi"/>
        <s v="Tacos"/>
      </sharedItems>
    </cacheField>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0"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2" memberValueDatatype="130" unbalanced="0">
      <fieldsUsage count="2">
        <fieldUsage x="-1"/>
        <fieldUsage x="1"/>
      </fieldsUsage>
    </cacheHierarchy>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0" memberValueDatatype="130" unbalanced="0"/>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0"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69675922" createdVersion="5" refreshedVersion="8" minRefreshableVersion="3" recordCount="0" supportSubquery="1" supportAdvancedDrill="1" xr:uid="{55569FCF-681B-48B1-945C-55E717164A97}">
  <cacheSource type="external" connectionId="1"/>
  <cacheFields count="3">
    <cacheField name="[Measures].[Sum of Sales]" caption="Sum of Sales" numFmtId="0" hierarchy="19" level="32767"/>
    <cacheField name="[resturant].[Column4].[Column4]" caption="Column4" numFmtId="0" hierarchy="1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resturant].[Column4].&amp;[0]"/>
            <x15:cachedUniqueName index="1" name="[resturant].[Column4].&amp;[1]"/>
            <x15:cachedUniqueName index="2" name="[resturant].[Column4].&amp;[2]"/>
            <x15:cachedUniqueName index="3" name="[resturant].[Column4].&amp;[3]"/>
            <x15:cachedUniqueName index="4" name="[resturant].[Column4].&amp;[4]"/>
            <x15:cachedUniqueName index="5" name="[resturant].[Column4].&amp;[5]"/>
            <x15:cachedUniqueName index="6" name="[resturant].[Column4].&amp;[6]"/>
            <x15:cachedUniqueName index="7" name="[resturant].[Column4].&amp;[7]"/>
            <x15:cachedUniqueName index="8" name="[resturant].[Column4].&amp;[8]"/>
            <x15:cachedUniqueName index="9" name="[resturant].[Column4].&amp;[9]"/>
            <x15:cachedUniqueName index="10" name="[resturant].[Column4].&amp;[10]"/>
            <x15:cachedUniqueName index="11" name="[resturant].[Column4].&amp;[11]"/>
            <x15:cachedUniqueName index="12" name="[resturant].[Column4].&amp;[12]"/>
            <x15:cachedUniqueName index="13" name="[resturant].[Column4].&amp;[13]"/>
            <x15:cachedUniqueName index="14" name="[resturant].[Column4].&amp;[14]"/>
            <x15:cachedUniqueName index="15" name="[resturant].[Column4].&amp;[15]"/>
            <x15:cachedUniqueName index="16" name="[resturant].[Column4].&amp;[16]"/>
            <x15:cachedUniqueName index="17" name="[resturant].[Column4].&amp;[17]"/>
            <x15:cachedUniqueName index="18" name="[resturant].[Column4].&amp;[18]"/>
            <x15:cachedUniqueName index="19" name="[resturant].[Column4].&amp;[19]"/>
            <x15:cachedUniqueName index="20" name="[resturant].[Column4].&amp;[20]"/>
            <x15:cachedUniqueName index="21" name="[resturant].[Column4].&amp;[21]"/>
            <x15:cachedUniqueName index="22" name="[resturant].[Column4].&amp;[22]"/>
            <x15:cachedUniqueName index="23" name="[resturant].[Column4].&amp;[23]"/>
          </x15:cachedUniqueNames>
        </ext>
      </extLst>
    </cacheField>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0"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0" memberValueDatatype="130" unbalanced="0"/>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0" memberValueDatatype="130" unbalanced="0"/>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2" memberValueDatatype="20" unbalanced="0">
      <fieldsUsage count="2">
        <fieldUsage x="-1"/>
        <fieldUsage x="1"/>
      </fieldsUsage>
    </cacheHierarchy>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7025463" createdVersion="5" refreshedVersion="8" minRefreshableVersion="3" recordCount="0" supportSubquery="1" supportAdvancedDrill="1" xr:uid="{DFA3CDD2-D8A8-489E-A8E6-2C7FE8E299FC}">
  <cacheSource type="external" connectionId="1"/>
  <cacheFields count="3">
    <cacheField name="[resturant].[Column2].[Column2]" caption="Column2" numFmtId="0" hierarchy="10" level="1">
      <sharedItems count="7">
        <s v="Friday"/>
        <s v="Monday"/>
        <s v="Saturday"/>
        <s v="Sunday"/>
        <s v="Thursday"/>
        <s v="Tuesday"/>
        <s v="Wednesday"/>
      </sharedItems>
    </cacheField>
    <cacheField name="[Measures].[Count of OrderID]" caption="Count of OrderID" numFmtId="0" hierarchy="22" level="32767"/>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0"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0" memberValueDatatype="130" unbalanced="0"/>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2" memberValueDatatype="130" unbalanced="0">
      <fieldsUsage count="2">
        <fieldUsage x="-1"/>
        <fieldUsage x="0"/>
      </fieldsUsage>
    </cacheHierarchy>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0"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hidden="1">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71180554" createdVersion="5" refreshedVersion="8" minRefreshableVersion="3" recordCount="0" supportSubquery="1" supportAdvancedDrill="1" xr:uid="{20B211D9-8014-4B1D-9015-73B7D3DE8351}">
  <cacheSource type="external" connectionId="1"/>
  <cacheFields count="3">
    <cacheField name="[resturant].[Customer].[Customer]" caption="Customer" numFmtId="0" hierarchy="3" level="1">
      <sharedItems count="10">
        <s v="Customer_125"/>
        <s v="Customer_126"/>
        <s v="Customer_136"/>
        <s v="Customer_143"/>
        <s v="Customer_195"/>
        <s v="Customer_233"/>
        <s v="Customer_249"/>
        <s v="Customer_276"/>
        <s v="Customer_36"/>
        <s v="Customer_80"/>
      </sharedItems>
    </cacheField>
    <cacheField name="[Measures].[Sum of Sales]" caption="Sum of Sales" numFmtId="0" hierarchy="19" level="32767"/>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2" memberValueDatatype="130" unbalanced="0">
      <fieldsUsage count="2">
        <fieldUsage x="-1"/>
        <fieldUsage x="0"/>
      </fieldsUsage>
    </cacheHierarchy>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0" memberValueDatatype="130" unbalanced="0"/>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0" memberValueDatatype="130" unbalanced="0"/>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0"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2"/>
      </fieldsUsage>
    </cacheHierarchy>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0.803971643516" createdVersion="5" refreshedVersion="8" minRefreshableVersion="3" recordCount="0" supportSubquery="1" supportAdvancedDrill="1" xr:uid="{B2C1102A-52F6-4F97-A6CD-35183D52AF31}">
  <cacheSource type="external" connectionId="1"/>
  <cacheFields count="4">
    <cacheField name="[resturant].[Category].[Category]" caption="Category" numFmtId="0" hierarchy="5" level="1">
      <sharedItems count="5">
        <s v="Asian"/>
        <s v="Continental"/>
        <s v="Fast Food"/>
        <s v="Healthy"/>
        <s v="Main Course"/>
      </sharedItems>
    </cacheField>
    <cacheField name="[Measures].[Sum of Quantity]" caption="Sum of Quantity" numFmtId="0" hierarchy="23" level="32767"/>
    <cacheField name="[Measures].[Sum of Sales]" caption="Sum of Sales" numFmtId="0" hierarchy="19" level="32767"/>
    <cacheField name="[resturant].[Date (Month)].[Date (Month)]" caption="Date (Month)" numFmtId="0" hierarchy="13" level="1">
      <sharedItems containsSemiMixedTypes="0" containsNonDate="0" containsString="0"/>
    </cacheField>
  </cacheFields>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0"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fieldsUsage count="2">
        <fieldUsage x="-1"/>
        <fieldUsage x="0"/>
      </fieldsUsage>
    </cacheHierarchy>
    <cacheHierarchy uniqueName="[resturant].[MenuItem]" caption="MenuItem" attribute="1" defaultMemberUniqueName="[resturant].[MenuItem].[All]" allUniqueName="[resturant].[MenuItem].[All]" dimensionUniqueName="[resturant]" displayFolder="" count="0" memberValueDatatype="130" unbalanced="0"/>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0" memberValueDatatype="130" unbalanced="0"/>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0" memberValueDatatype="20" unbalanced="0"/>
    <cacheHierarchy uniqueName="[resturant].[Date (Month)]" caption="Date (Month)" attribute="1" defaultMemberUniqueName="[resturant].[Date (Month)].[All]" allUniqueName="[resturant].[Date (Month)].[All]" dimensionUniqueName="[resturant]" displayFolder="" count="2" memberValueDatatype="130" unbalanced="0">
      <fieldsUsage count="2">
        <fieldUsage x="-1"/>
        <fieldUsage x="3"/>
      </fieldsUsage>
    </cacheHierarchy>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esturant" uniqueName="[resturant]" caption="resturant"/>
  </dimensions>
  <measureGroups count="1">
    <measureGroup name="resturant" caption="restura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anushree Madhwani" refreshedDate="46120.735269791665" createdVersion="3" refreshedVersion="8" minRefreshableVersion="3" recordCount="0" supportSubquery="1" supportAdvancedDrill="1" xr:uid="{177FCACE-D8D6-4EC7-867C-827C4D64FC59}">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resturant].[OrderID]" caption="OrderID" attribute="1" defaultMemberUniqueName="[resturant].[OrderID].[All]" allUniqueName="[resturant].[OrderID].[All]" dimensionUniqueName="[resturant]" displayFolder="" count="0" memberValueDatatype="20" unbalanced="0"/>
    <cacheHierarchy uniqueName="[resturant].[Time]" caption="Time" attribute="1" time="1" defaultMemberUniqueName="[resturant].[Time].[All]" allUniqueName="[resturant].[Time].[All]" dimensionUniqueName="[resturant]" displayFolder="" count="0" memberValueDatatype="7" unbalanced="0"/>
    <cacheHierarchy uniqueName="[resturant].[Date]" caption="Date" attribute="1" time="1" defaultMemberUniqueName="[resturant].[Date].[All]" allUniqueName="[resturant].[Date].[All]" dimensionUniqueName="[resturant]" displayFolder="" count="0" memberValueDatatype="7" unbalanced="0"/>
    <cacheHierarchy uniqueName="[resturant].[Customer]" caption="Customer" attribute="1" defaultMemberUniqueName="[resturant].[Customer].[All]" allUniqueName="[resturant].[Customer].[All]" dimensionUniqueName="[resturant]" displayFolder="" count="0" memberValueDatatype="130" unbalanced="0"/>
    <cacheHierarchy uniqueName="[resturant].[Region]" caption="Region" attribute="1" defaultMemberUniqueName="[resturant].[Region].[All]" allUniqueName="[resturant].[Region].[All]" dimensionUniqueName="[resturant]" displayFolder="" count="2" memberValueDatatype="130" unbalanced="0"/>
    <cacheHierarchy uniqueName="[resturant].[Category]" caption="Category" attribute="1" defaultMemberUniqueName="[resturant].[Category].[All]" allUniqueName="[resturant].[Category].[All]" dimensionUniqueName="[resturant]" displayFolder="" count="2" memberValueDatatype="130" unbalanced="0"/>
    <cacheHierarchy uniqueName="[resturant].[MenuItem]" caption="MenuItem" attribute="1" defaultMemberUniqueName="[resturant].[MenuItem].[All]" allUniqueName="[resturant].[MenuItem].[All]" dimensionUniqueName="[resturant]" displayFolder="" count="0" memberValueDatatype="130" unbalanced="0"/>
    <cacheHierarchy uniqueName="[resturant].[Quantity]" caption="Quantity" attribute="1" defaultMemberUniqueName="[resturant].[Quantity].[All]" allUniqueName="[resturant].[Quantity].[All]" dimensionUniqueName="[resturant]" displayFolder="" count="0" memberValueDatatype="20" unbalanced="0"/>
    <cacheHierarchy uniqueName="[resturant].[Price]" caption="Price" attribute="1" defaultMemberUniqueName="[resturant].[Price].[All]" allUniqueName="[resturant].[Price].[All]" dimensionUniqueName="[resturant]" displayFolder="" count="0" memberValueDatatype="20" unbalanced="0"/>
    <cacheHierarchy uniqueName="[resturant].[Sales]" caption="Sales" attribute="1" defaultMemberUniqueName="[resturant].[Sales].[All]" allUniqueName="[resturant].[Sales].[All]" dimensionUniqueName="[resturant]" displayFolder="" count="0" memberValueDatatype="20" unbalanced="0"/>
    <cacheHierarchy uniqueName="[resturant].[Column2]" caption="Column2" attribute="1" defaultMemberUniqueName="[resturant].[Column2].[All]" allUniqueName="[resturant].[Column2].[All]" dimensionUniqueName="[resturant]" displayFolder="" count="0" memberValueDatatype="130" unbalanced="0"/>
    <cacheHierarchy uniqueName="[resturant].[Column3]" caption="Column3" attribute="1" defaultMemberUniqueName="[resturant].[Column3].[All]" allUniqueName="[resturant].[Column3].[All]" dimensionUniqueName="[resturant]" displayFolder="" count="0" memberValueDatatype="130" unbalanced="0"/>
    <cacheHierarchy uniqueName="[resturant].[Column4]" caption="Column4" attribute="1" defaultMemberUniqueName="[resturant].[Column4].[All]" allUniqueName="[resturant].[Column4].[All]" dimensionUniqueName="[resturant]" displayFolder="" count="0" memberValueDatatype="20" unbalanced="0"/>
    <cacheHierarchy uniqueName="[resturant].[Date (Month)]" caption="Date (Month)" attribute="1" defaultMemberUniqueName="[resturant].[Date (Month)].[All]" allUniqueName="[resturant].[Date (Month)].[All]" dimensionUniqueName="[resturant]" displayFolder="" count="2" memberValueDatatype="130" unbalanced="0"/>
    <cacheHierarchy uniqueName="[resturant].[Time (Month)]" caption="Time (Month)" attribute="1" defaultMemberUniqueName="[resturant].[Time (Month)].[All]" allUniqueName="[resturant].[Time (Month)].[All]" dimensionUniqueName="[resturant]" displayFolder="" count="0" memberValueDatatype="130" unbalanced="0"/>
    <cacheHierarchy uniqueName="[resturant].[Date (Month Index)]" caption="Date (Month Index)" attribute="1" defaultMemberUniqueName="[resturant].[Date (Month Index)].[All]" allUniqueName="[resturant].[Date (Month Index)].[All]" dimensionUniqueName="[resturant]" displayFolder="" count="0" memberValueDatatype="20" unbalanced="0" hidden="1"/>
    <cacheHierarchy uniqueName="[resturant].[Time (Month Index)]" caption="Time (Month Index)" attribute="1" defaultMemberUniqueName="[resturant].[Time (Month Index)].[All]" allUniqueName="[resturant].[Time (Month Index)].[All]" dimensionUniqueName="[resturant]" displayFolder="" count="0" memberValueDatatype="20" unbalanced="0" hidden="1"/>
    <cacheHierarchy uniqueName="[Measures].[__XL_Count Table1]" caption="__XL_Count Table1" measure="1" displayFolder="" measureGroup="resturant" count="0" hidden="1"/>
    <cacheHierarchy uniqueName="[Measures].[__No measures defined]" caption="__No measures defined" measure="1" displayFolder="" count="0" hidden="1"/>
    <cacheHierarchy uniqueName="[Measures].[Sum of Sales]" caption="Sum of Sales" measure="1" displayFolder="" measureGroup="resturant" count="0" hidden="1">
      <extLst>
        <ext xmlns:x15="http://schemas.microsoft.com/office/spreadsheetml/2010/11/main" uri="{B97F6D7D-B522-45F9-BDA1-12C45D357490}">
          <x15:cacheHierarchy aggregatedColumn="9"/>
        </ext>
      </extLst>
    </cacheHierarchy>
    <cacheHierarchy uniqueName="[Measures].[Sum of Column4]" caption="Sum of Column4" measure="1" displayFolder="" measureGroup="resturant" count="0" hidden="1">
      <extLst>
        <ext xmlns:x15="http://schemas.microsoft.com/office/spreadsheetml/2010/11/main" uri="{B97F6D7D-B522-45F9-BDA1-12C45D357490}">
          <x15:cacheHierarchy aggregatedColumn="12"/>
        </ext>
      </extLst>
    </cacheHierarchy>
    <cacheHierarchy uniqueName="[Measures].[Sum of OrderID]" caption="Sum of OrderID" measure="1" displayFolder="" measureGroup="resturant"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resturant"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esturant"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85992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F7A5EF-AB7D-474F-97D5-B05F6880D569}" name="PivotTable1" cacheId="737" applyNumberFormats="0" applyBorderFormats="0" applyFontFormats="0" applyPatternFormats="0" applyAlignmentFormats="0" applyWidthHeightFormats="1" dataCaption="Values" tag="bf81b6df-2d33-469a-b244-4939e1f1f678" updatedVersion="8" minRefreshableVersion="3" useAutoFormatting="1" itemPrintTitles="1" createdVersion="5" indent="0" outline="1" outlineData="1" multipleFieldFilters="0" chartFormat="7">
  <location ref="A2:B1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1">
    <chartFormat chart="6"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E0F4C-BE46-488F-8CF3-C780FFFF2E1A}" name="PivotTable5" cacheId="749" applyNumberFormats="0" applyBorderFormats="0" applyFontFormats="0" applyPatternFormats="0" applyAlignmentFormats="0" applyWidthHeightFormats="1" dataCaption="Values" tag="30fcbaeb-7596-491f-8a4b-31701b4739d5" updatedVersion="8" minRefreshableVersion="3" itemPrintTitles="1" createdVersion="5" indent="0" outline="1" outlineData="1" multipleFieldFilters="0" chartFormat="5">
  <location ref="D11:E36"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F08450-B5C4-4DDD-97C8-9D97A4FA3D89}" name="PivotTable4" cacheId="746" applyNumberFormats="0" applyBorderFormats="0" applyFontFormats="0" applyPatternFormats="0" applyAlignmentFormats="0" applyWidthHeightFormats="1" dataCaption="Values" tag="0ade796d-ab81-48ba-918b-cda833d2ce1c" updatedVersion="8" minRefreshableVersion="3" useAutoFormatting="1" itemPrintTitles="1" createdVersion="5" indent="0" outline="1" outlineData="1" multipleFieldFilters="0" chartFormat="6">
  <location ref="J2:K13"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259ED7-1B77-4D6E-9CAE-96EF989A4CD5}" name="PivotTable3" cacheId="743" applyNumberFormats="0" applyBorderFormats="0" applyFontFormats="0" applyPatternFormats="0" applyAlignmentFormats="0" applyWidthHeightFormats="1" dataCaption="Values" tag="7af06ff5-78ea-4ffe-9c1f-3339cd5b385f" updatedVersion="8" minRefreshableVersion="3" useAutoFormatting="1" itemPrintTitles="1" createdVersion="5" indent="0" outline="1" outlineData="1" multipleFieldFilters="0" chartFormat="7">
  <location ref="G2:H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62BA6-EE9A-4415-AE74-ADF4E8CF9C56}" name="PivotTable8" cacheId="758" applyNumberFormats="0" applyBorderFormats="0" applyFontFormats="0" applyPatternFormats="0" applyAlignmentFormats="0" applyWidthHeightFormats="1" dataCaption="Values" tag="c06ab6ca-3493-41fa-b3f6-8701c37b545f" updatedVersion="8" minRefreshableVersion="3" itemPrintTitles="1" createdVersion="5" indent="0" outline="1" outlineData="1" multipleFieldFilters="0">
  <location ref="M2:O8"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Quantity" fld="1" baseField="0" baseItem="0"/>
    <dataField name="Sum of Sales" fld="2" baseField="0" baseItem="0"/>
  </dataField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ID"/>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1DEF49-824B-4FA1-95FC-0957A25664B0}" name="PivotTable6" cacheId="752" applyNumberFormats="0" applyBorderFormats="0" applyFontFormats="0" applyPatternFormats="0" applyAlignmentFormats="0" applyWidthHeightFormats="1" dataCaption="Values" tag="e8eb4f70-e1bd-46e1-87cf-82d9c3b57239" updatedVersion="8" minRefreshableVersion="3" itemPrintTitles="1" createdVersion="5" indent="0" outline="1" outlineData="1" multipleFieldFilters="0" chartFormat="5">
  <location ref="G11:H19" firstHeaderRow="1" firstDataRow="1" firstDataCol="1"/>
  <pivotFields count="3">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ID"/>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6DE478-0262-4162-9A40-EAE7BD0D0E0E}" name="PivotTable2" cacheId="740" applyNumberFormats="0" applyBorderFormats="0" applyFontFormats="0" applyPatternFormats="0" applyAlignmentFormats="0" applyWidthHeightFormats="1" dataCaption="Values" tag="ea448477-dd24-49ba-894e-49e4eae7f0d6" updatedVersion="8" minRefreshableVersion="3" useAutoFormatting="1" itemPrintTitles="1" createdVersion="5" indent="0" outline="1" outlineData="1" multipleFieldFilters="0" chartFormat="5">
  <location ref="D2:E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934D92-D95D-42AD-9F10-B7D82EC210D5}" name="PivotTable7" cacheId="755" applyNumberFormats="0" applyBorderFormats="0" applyFontFormats="0" applyPatternFormats="0" applyAlignmentFormats="0" applyWidthHeightFormats="1" dataCaption="Values" tag="24019f50-ca9e-408b-87f4-6d26b4c78975" updatedVersion="8" minRefreshableVersion="3" useAutoFormatting="1" itemPrintTitles="1" createdVersion="5" indent="0" outline="1" outlineData="1" multipleFieldFilters="0" chartFormat="7">
  <location ref="J16:K2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ID"/>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ura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D0DBDC6-5446-450F-A7C0-62BB99CBE1D8}" sourceName="[resturant].[Date (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885992753">
      <levels count="2">
        <level uniqueName="[resturant].[Date (Month)].[(All)]" sourceCaption="(All)" count="0"/>
        <level uniqueName="[resturant].[Date (Month)].[Date (Month)]" sourceCaption="Date (Month)" count="12">
          <ranges>
            <range startItem="0">
              <i n="[resturant].[Date (Month)].&amp;[Jan]" c="Jan"/>
              <i n="[resturant].[Date (Month)].&amp;[Feb]" c="Feb"/>
              <i n="[resturant].[Date (Month)].&amp;[Mar]" c="Mar"/>
              <i n="[resturant].[Date (Month)].&amp;[Apr]" c="Apr"/>
              <i n="[resturant].[Date (Month)].&amp;[May]" c="May"/>
              <i n="[resturant].[Date (Month)].&amp;[Jun]" c="Jun"/>
              <i n="[resturant].[Date (Month)].&amp;[Jul]" c="Jul"/>
              <i n="[resturant].[Date (Month)].&amp;[Aug]" c="Aug"/>
              <i n="[resturant].[Date (Month)].&amp;[Sep]" c="Sep"/>
              <i n="[resturant].[Date (Month)].&amp;[Oct]" c="Oct"/>
              <i n="[resturant].[Date (Month)].&amp;[Nov]" c="Nov"/>
              <i n="[resturant].[Date (Month)].&amp;[Dec]" c="Dec"/>
            </range>
          </ranges>
        </level>
      </levels>
      <selections count="1">
        <selection n="[resturant].[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D1FF7A-129A-45B1-A847-34B7B330B582}" sourceName="[resturant].[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olap pivotCacheId="885992753">
      <levels count="2">
        <level uniqueName="[resturant].[Region].[(All)]" sourceCaption="(All)" count="0"/>
        <level uniqueName="[resturant].[Region].[Region]" sourceCaption="Region" count="4">
          <ranges>
            <range startItem="0">
              <i n="[resturant].[Region].&amp;[East]" c="East"/>
              <i n="[resturant].[Region].&amp;[North]" c="North"/>
              <i n="[resturant].[Region].&amp;[South]" c="South"/>
              <i n="[resturant].[Region].&amp;[West]" c="West"/>
            </range>
          </ranges>
        </level>
      </levels>
      <selections count="1">
        <selection n="[resturant].[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182FA4-559F-4095-828E-3739C4A6590C}" sourceName="[resturant].[Category]">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olap pivotCacheId="885992753">
      <levels count="2">
        <level uniqueName="[resturant].[Category].[(All)]" sourceCaption="(All)" count="0"/>
        <level uniqueName="[resturant].[Category].[Category]" sourceCaption="Category" count="5">
          <ranges>
            <range startItem="0">
              <i n="[resturant].[Category].&amp;[Asian]" c="Asian"/>
              <i n="[resturant].[Category].&amp;[Continental]" c="Continental"/>
              <i n="[resturant].[Category].&amp;[Fast Food]" c="Fast Food"/>
              <i n="[resturant].[Category].&amp;[Healthy]" c="Healthy"/>
              <i n="[resturant].[Category].&amp;[Main Course]" c="Main Course"/>
            </range>
          </ranges>
        </level>
      </levels>
      <selections count="1">
        <selection n="[resturan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5015870F-6E52-49E2-AD38-7BB196E576A9}" cache="Slicer_Date__Month" caption="Date (Month)" level="1" rowHeight="234950"/>
  <slicer name="Region" xr10:uid="{633509E5-4CF8-452B-9EA2-3F004D653C71}" cache="Slicer_Region" caption="Region" level="1" style="SlicerStyleLight4" rowHeight="234950"/>
  <slicer name="Category" xr10:uid="{5B1B9EED-B6CE-4658-A351-C039056FF414}" cache="Slicer_Category" caption="Category"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177834-3284-4393-9B0A-D6A7F39EE6FA}" name="Table1" displayName="Table1" ref="A1:M1201" totalsRowShown="0">
  <autoFilter ref="A1:M1201" xr:uid="{FD177834-3284-4393-9B0A-D6A7F39EE6FA}"/>
  <tableColumns count="13">
    <tableColumn id="1" xr3:uid="{C2D4AC82-DAD9-4AF0-BBB2-07C4DD5BA66A}" name="OrderID"/>
    <tableColumn id="14" xr3:uid="{F6FA8515-864D-439A-B41D-1141286FF395}" name="Time" dataDxfId="4"/>
    <tableColumn id="2" xr3:uid="{8D224652-4094-48BD-9586-348904A0B689}" name="Date" dataDxfId="3"/>
    <tableColumn id="3" xr3:uid="{71ADDC20-7C85-4ACE-B583-7E76C1B6F4A4}" name="Customer"/>
    <tableColumn id="4" xr3:uid="{BB35FAC2-7DB4-4E38-95ED-1C701F280456}" name="Region"/>
    <tableColumn id="5" xr3:uid="{80A8872F-C80F-408C-9F99-8F55EE85B36E}" name="Category"/>
    <tableColumn id="6" xr3:uid="{EF210A0E-0EB9-423D-8BCD-20366B7EE4AA}" name="MenuItem"/>
    <tableColumn id="7" xr3:uid="{9FD47E04-A72B-43BB-93BD-3F2079BC67C6}" name="Quantity"/>
    <tableColumn id="8" xr3:uid="{85DC4A44-ED9B-4AA6-B70D-7A2C523DB573}" name="Price"/>
    <tableColumn id="9" xr3:uid="{382E8CE2-3A10-47AF-9218-34B44E091763}" name="Sales"/>
    <tableColumn id="11" xr3:uid="{6F726B43-A350-4321-B684-2006D8B34994}" name="Weekday" dataDxfId="2">
      <calculatedColumnFormula>TEXT(Table1[[#This Row],[Date]],"dddd")</calculatedColumnFormula>
    </tableColumn>
    <tableColumn id="12" xr3:uid="{AF00B89C-F844-484C-B8E5-8792544E2540}" name="Month" dataDxfId="1">
      <calculatedColumnFormula>TEXT(Table1[[#This Row],[Date]],"mmm-yyyy")</calculatedColumnFormula>
    </tableColumn>
    <tableColumn id="10" xr3:uid="{7F81BD27-12F5-48B7-BAB0-662CE123C543}" name="Hour" dataDxfId="0">
      <calculatedColumnFormula>HOUR(Table1[[#This Row],[Time]])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0127-07C7-40B0-8638-AF51E3CBACA4}">
  <dimension ref="A1:O36"/>
  <sheetViews>
    <sheetView workbookViewId="0">
      <selection activeCell="G2" sqref="G2:H8"/>
    </sheetView>
  </sheetViews>
  <sheetFormatPr defaultRowHeight="14.4" x14ac:dyDescent="0.3"/>
  <cols>
    <col min="1" max="1" width="12.5546875" bestFit="1" customWidth="1"/>
    <col min="2" max="3" width="11.6640625" bestFit="1" customWidth="1"/>
    <col min="4" max="4" width="12.5546875" bestFit="1" customWidth="1"/>
    <col min="5" max="5" width="11.6640625" bestFit="1" customWidth="1"/>
    <col min="6" max="6" width="15.44140625" bestFit="1" customWidth="1"/>
    <col min="7" max="7" width="12.5546875" bestFit="1" customWidth="1"/>
    <col min="8" max="8" width="11.6640625" bestFit="1" customWidth="1"/>
    <col min="9" max="9" width="15.44140625" bestFit="1" customWidth="1"/>
    <col min="10" max="10" width="12.88671875" bestFit="1" customWidth="1"/>
    <col min="11" max="12" width="11.6640625" bestFit="1" customWidth="1"/>
    <col min="13" max="1201" width="15.44140625" bestFit="1" customWidth="1"/>
    <col min="1202" max="1202" width="10.33203125" bestFit="1" customWidth="1"/>
    <col min="1203" max="1203" width="10.77734375" bestFit="1" customWidth="1"/>
  </cols>
  <sheetData>
    <row r="1" spans="1:15" x14ac:dyDescent="0.3">
      <c r="A1" s="9" t="s">
        <v>343</v>
      </c>
      <c r="B1" s="9"/>
      <c r="D1" s="9" t="s">
        <v>344</v>
      </c>
      <c r="E1" s="9"/>
      <c r="G1" s="9" t="s">
        <v>345</v>
      </c>
      <c r="H1" s="9"/>
      <c r="J1" s="9" t="s">
        <v>346</v>
      </c>
      <c r="K1" s="9"/>
    </row>
    <row r="2" spans="1:15" x14ac:dyDescent="0.3">
      <c r="A2" s="4" t="s">
        <v>328</v>
      </c>
      <c r="B2" t="s">
        <v>330</v>
      </c>
      <c r="D2" s="4" t="s">
        <v>328</v>
      </c>
      <c r="E2" t="s">
        <v>330</v>
      </c>
      <c r="G2" s="4" t="s">
        <v>328</v>
      </c>
      <c r="H2" t="s">
        <v>330</v>
      </c>
      <c r="J2" s="4" t="s">
        <v>328</v>
      </c>
      <c r="K2" t="s">
        <v>330</v>
      </c>
      <c r="M2" s="4" t="s">
        <v>328</v>
      </c>
      <c r="N2" t="s">
        <v>363</v>
      </c>
      <c r="O2" t="s">
        <v>330</v>
      </c>
    </row>
    <row r="3" spans="1:15" x14ac:dyDescent="0.3">
      <c r="A3" s="5" t="s">
        <v>331</v>
      </c>
      <c r="B3" s="11">
        <v>169442</v>
      </c>
      <c r="D3" s="5" t="s">
        <v>28</v>
      </c>
      <c r="E3" s="11">
        <v>514277</v>
      </c>
      <c r="G3" s="5" t="s">
        <v>11</v>
      </c>
      <c r="H3" s="11">
        <v>400955</v>
      </c>
      <c r="J3" s="5" t="s">
        <v>40</v>
      </c>
      <c r="K3" s="11">
        <v>195770</v>
      </c>
      <c r="M3" s="5" t="s">
        <v>11</v>
      </c>
      <c r="N3" s="11">
        <v>719</v>
      </c>
      <c r="O3" s="11">
        <v>400955</v>
      </c>
    </row>
    <row r="4" spans="1:15" x14ac:dyDescent="0.3">
      <c r="A4" s="5" t="s">
        <v>332</v>
      </c>
      <c r="B4" s="11">
        <v>144910</v>
      </c>
      <c r="D4" s="5" t="s">
        <v>10</v>
      </c>
      <c r="E4" s="11">
        <v>489745</v>
      </c>
      <c r="G4" s="5" t="s">
        <v>39</v>
      </c>
      <c r="H4" s="11">
        <v>333214</v>
      </c>
      <c r="J4" s="5" t="s">
        <v>25</v>
      </c>
      <c r="K4" s="11">
        <v>181925</v>
      </c>
      <c r="M4" s="5" t="s">
        <v>39</v>
      </c>
      <c r="N4" s="11">
        <v>626</v>
      </c>
      <c r="O4" s="11">
        <v>333214</v>
      </c>
    </row>
    <row r="5" spans="1:15" x14ac:dyDescent="0.3">
      <c r="A5" s="5" t="s">
        <v>333</v>
      </c>
      <c r="B5" s="11">
        <v>159235</v>
      </c>
      <c r="D5" s="5" t="s">
        <v>14</v>
      </c>
      <c r="E5" s="11">
        <v>438868</v>
      </c>
      <c r="G5" s="5" t="s">
        <v>15</v>
      </c>
      <c r="H5" s="11">
        <v>424919</v>
      </c>
      <c r="J5" s="5" t="s">
        <v>33</v>
      </c>
      <c r="K5" s="11">
        <v>236920</v>
      </c>
      <c r="M5" s="5" t="s">
        <v>15</v>
      </c>
      <c r="N5" s="11">
        <v>770</v>
      </c>
      <c r="O5" s="11">
        <v>424919</v>
      </c>
    </row>
    <row r="6" spans="1:15" x14ac:dyDescent="0.3">
      <c r="A6" s="5" t="s">
        <v>334</v>
      </c>
      <c r="B6" s="11">
        <v>150250</v>
      </c>
      <c r="D6" s="5" t="s">
        <v>17</v>
      </c>
      <c r="E6" s="11">
        <v>526033</v>
      </c>
      <c r="G6" s="5" t="s">
        <v>24</v>
      </c>
      <c r="H6" s="11">
        <v>392013</v>
      </c>
      <c r="J6" s="5" t="s">
        <v>56</v>
      </c>
      <c r="K6" s="11">
        <v>194442</v>
      </c>
      <c r="M6" s="5" t="s">
        <v>24</v>
      </c>
      <c r="N6" s="11">
        <v>698</v>
      </c>
      <c r="O6" s="11">
        <v>392013</v>
      </c>
    </row>
    <row r="7" spans="1:15" x14ac:dyDescent="0.3">
      <c r="A7" s="5" t="s">
        <v>335</v>
      </c>
      <c r="B7" s="11">
        <v>171650</v>
      </c>
      <c r="D7" s="5" t="s">
        <v>329</v>
      </c>
      <c r="E7" s="11">
        <v>1968923</v>
      </c>
      <c r="G7" s="5" t="s">
        <v>18</v>
      </c>
      <c r="H7" s="11">
        <v>417822</v>
      </c>
      <c r="J7" s="5" t="s">
        <v>42</v>
      </c>
      <c r="K7" s="11">
        <v>172592</v>
      </c>
      <c r="M7" s="5" t="s">
        <v>18</v>
      </c>
      <c r="N7" s="11">
        <v>774</v>
      </c>
      <c r="O7" s="11">
        <v>417822</v>
      </c>
    </row>
    <row r="8" spans="1:15" x14ac:dyDescent="0.3">
      <c r="A8" s="5" t="s">
        <v>336</v>
      </c>
      <c r="B8" s="11">
        <v>178237</v>
      </c>
      <c r="G8" s="5" t="s">
        <v>329</v>
      </c>
      <c r="H8" s="11">
        <v>1968923</v>
      </c>
      <c r="J8" s="5" t="s">
        <v>12</v>
      </c>
      <c r="K8" s="11">
        <v>191112</v>
      </c>
      <c r="M8" s="5" t="s">
        <v>329</v>
      </c>
      <c r="N8" s="11">
        <v>3587</v>
      </c>
      <c r="O8" s="11">
        <v>1968923</v>
      </c>
    </row>
    <row r="9" spans="1:15" x14ac:dyDescent="0.3">
      <c r="A9" s="5" t="s">
        <v>337</v>
      </c>
      <c r="B9" s="11">
        <v>179630</v>
      </c>
      <c r="J9" s="5" t="s">
        <v>29</v>
      </c>
      <c r="K9" s="11">
        <v>202218</v>
      </c>
    </row>
    <row r="10" spans="1:15" x14ac:dyDescent="0.3">
      <c r="A10" s="5" t="s">
        <v>338</v>
      </c>
      <c r="B10" s="11">
        <v>155929</v>
      </c>
      <c r="D10" s="9" t="s">
        <v>347</v>
      </c>
      <c r="E10" s="9"/>
      <c r="G10" s="9" t="s">
        <v>348</v>
      </c>
      <c r="H10" s="9"/>
      <c r="J10" s="5" t="s">
        <v>35</v>
      </c>
      <c r="K10" s="11">
        <v>212526</v>
      </c>
    </row>
    <row r="11" spans="1:15" x14ac:dyDescent="0.3">
      <c r="A11" s="5" t="s">
        <v>339</v>
      </c>
      <c r="B11" s="11">
        <v>151007</v>
      </c>
      <c r="D11" s="4" t="s">
        <v>328</v>
      </c>
      <c r="E11" t="s">
        <v>330</v>
      </c>
      <c r="G11" s="4" t="s">
        <v>328</v>
      </c>
      <c r="H11" t="s">
        <v>356</v>
      </c>
      <c r="J11" s="5" t="s">
        <v>22</v>
      </c>
      <c r="K11" s="11">
        <v>184733</v>
      </c>
    </row>
    <row r="12" spans="1:15" x14ac:dyDescent="0.3">
      <c r="A12" s="5" t="s">
        <v>340</v>
      </c>
      <c r="B12" s="11">
        <v>173130</v>
      </c>
      <c r="D12" s="5">
        <v>0</v>
      </c>
      <c r="E12" s="11">
        <v>82499</v>
      </c>
      <c r="G12" s="5" t="s">
        <v>349</v>
      </c>
      <c r="H12" s="11">
        <v>171</v>
      </c>
      <c r="J12" s="5" t="s">
        <v>19</v>
      </c>
      <c r="K12" s="11">
        <v>196685</v>
      </c>
    </row>
    <row r="13" spans="1:15" x14ac:dyDescent="0.3">
      <c r="A13" s="5" t="s">
        <v>341</v>
      </c>
      <c r="B13" s="11">
        <v>157836</v>
      </c>
      <c r="D13" s="5">
        <v>1</v>
      </c>
      <c r="E13" s="11">
        <v>82958</v>
      </c>
      <c r="G13" s="5" t="s">
        <v>350</v>
      </c>
      <c r="H13" s="11">
        <v>171</v>
      </c>
      <c r="J13" s="5" t="s">
        <v>329</v>
      </c>
      <c r="K13" s="11">
        <v>1968923</v>
      </c>
    </row>
    <row r="14" spans="1:15" x14ac:dyDescent="0.3">
      <c r="A14" s="5" t="s">
        <v>342</v>
      </c>
      <c r="B14" s="11">
        <v>177667</v>
      </c>
      <c r="D14" s="5">
        <v>2</v>
      </c>
      <c r="E14" s="11">
        <v>80729</v>
      </c>
      <c r="G14" s="5" t="s">
        <v>351</v>
      </c>
      <c r="H14" s="11">
        <v>171</v>
      </c>
    </row>
    <row r="15" spans="1:15" x14ac:dyDescent="0.3">
      <c r="A15" s="5" t="s">
        <v>329</v>
      </c>
      <c r="B15" s="11">
        <v>1968923</v>
      </c>
      <c r="D15" s="5">
        <v>3</v>
      </c>
      <c r="E15" s="11">
        <v>90817</v>
      </c>
      <c r="G15" s="5" t="s">
        <v>352</v>
      </c>
      <c r="H15" s="11">
        <v>173</v>
      </c>
      <c r="J15" s="9" t="s">
        <v>357</v>
      </c>
      <c r="K15" s="9"/>
    </row>
    <row r="16" spans="1:15" x14ac:dyDescent="0.3">
      <c r="D16" s="5">
        <v>4</v>
      </c>
      <c r="E16" s="11">
        <v>81721</v>
      </c>
      <c r="G16" s="5" t="s">
        <v>353</v>
      </c>
      <c r="H16" s="11">
        <v>171</v>
      </c>
      <c r="J16" s="4" t="s">
        <v>328</v>
      </c>
      <c r="K16" t="s">
        <v>330</v>
      </c>
    </row>
    <row r="17" spans="1:11" x14ac:dyDescent="0.3">
      <c r="A17" s="10" t="s">
        <v>358</v>
      </c>
      <c r="B17" s="10"/>
      <c r="D17" s="5">
        <v>5</v>
      </c>
      <c r="E17" s="11">
        <v>82403</v>
      </c>
      <c r="G17" s="5" t="s">
        <v>354</v>
      </c>
      <c r="H17" s="11">
        <v>171</v>
      </c>
      <c r="J17" s="5" t="s">
        <v>173</v>
      </c>
      <c r="K17" s="11">
        <v>16926</v>
      </c>
    </row>
    <row r="18" spans="1:11" x14ac:dyDescent="0.3">
      <c r="A18" s="6" t="s">
        <v>359</v>
      </c>
      <c r="B18" s="6">
        <f>GETPIVOTDATA("[Measures].[Sum of Sales]",$M$2)</f>
        <v>1968923</v>
      </c>
      <c r="D18" s="5">
        <v>6</v>
      </c>
      <c r="E18" s="11">
        <v>93920</v>
      </c>
      <c r="G18" s="5" t="s">
        <v>355</v>
      </c>
      <c r="H18" s="11">
        <v>172</v>
      </c>
      <c r="J18" s="5" t="s">
        <v>20</v>
      </c>
      <c r="K18" s="11">
        <v>20820</v>
      </c>
    </row>
    <row r="19" spans="1:11" x14ac:dyDescent="0.3">
      <c r="A19" s="6" t="s">
        <v>360</v>
      </c>
      <c r="B19" s="6">
        <f>GETPIVOTDATA("[Measures].[Count of OrderID]",$G$11)</f>
        <v>1200</v>
      </c>
      <c r="D19" s="5">
        <v>7</v>
      </c>
      <c r="E19" s="11">
        <v>64803</v>
      </c>
      <c r="G19" s="5" t="s">
        <v>329</v>
      </c>
      <c r="H19" s="11">
        <v>1200</v>
      </c>
      <c r="J19" s="5" t="s">
        <v>61</v>
      </c>
      <c r="K19" s="11">
        <v>20785</v>
      </c>
    </row>
    <row r="20" spans="1:11" x14ac:dyDescent="0.3">
      <c r="A20" s="6" t="s">
        <v>362</v>
      </c>
      <c r="B20" s="7">
        <f>B18/B19</f>
        <v>1640.7691666666667</v>
      </c>
      <c r="D20" s="5">
        <v>8</v>
      </c>
      <c r="E20" s="11">
        <v>71504</v>
      </c>
      <c r="J20" s="5" t="s">
        <v>49</v>
      </c>
      <c r="K20" s="11">
        <v>17974</v>
      </c>
    </row>
    <row r="21" spans="1:11" x14ac:dyDescent="0.3">
      <c r="A21" s="6" t="s">
        <v>361</v>
      </c>
      <c r="B21" s="6">
        <f>GETPIVOTDATA("[Measures].[Sum of Quantity]",$M$2)</f>
        <v>3587</v>
      </c>
      <c r="D21" s="5">
        <v>9</v>
      </c>
      <c r="E21" s="11">
        <v>88773</v>
      </c>
      <c r="J21" s="5" t="s">
        <v>57</v>
      </c>
      <c r="K21" s="11">
        <v>24096</v>
      </c>
    </row>
    <row r="22" spans="1:11" x14ac:dyDescent="0.3">
      <c r="D22" s="5">
        <v>10</v>
      </c>
      <c r="E22" s="11">
        <v>87249</v>
      </c>
      <c r="J22" s="5" t="s">
        <v>78</v>
      </c>
      <c r="K22" s="11">
        <v>20534</v>
      </c>
    </row>
    <row r="23" spans="1:11" x14ac:dyDescent="0.3">
      <c r="D23" s="5">
        <v>11</v>
      </c>
      <c r="E23" s="11">
        <v>85274</v>
      </c>
      <c r="J23" s="5" t="s">
        <v>148</v>
      </c>
      <c r="K23" s="11">
        <v>16890</v>
      </c>
    </row>
    <row r="24" spans="1:11" x14ac:dyDescent="0.3">
      <c r="D24" s="5">
        <v>12</v>
      </c>
      <c r="E24" s="11">
        <v>82315</v>
      </c>
      <c r="J24" s="5" t="s">
        <v>105</v>
      </c>
      <c r="K24" s="11">
        <v>15690</v>
      </c>
    </row>
    <row r="25" spans="1:11" x14ac:dyDescent="0.3">
      <c r="D25" s="5">
        <v>13</v>
      </c>
      <c r="E25" s="11">
        <v>81120</v>
      </c>
      <c r="J25" s="5" t="s">
        <v>73</v>
      </c>
      <c r="K25" s="11">
        <v>18194</v>
      </c>
    </row>
    <row r="26" spans="1:11" x14ac:dyDescent="0.3">
      <c r="D26" s="5">
        <v>14</v>
      </c>
      <c r="E26" s="11">
        <v>74777</v>
      </c>
      <c r="J26" s="5" t="s">
        <v>53</v>
      </c>
      <c r="K26" s="11">
        <v>15841</v>
      </c>
    </row>
    <row r="27" spans="1:11" x14ac:dyDescent="0.3">
      <c r="D27" s="5">
        <v>15</v>
      </c>
      <c r="E27" s="11">
        <v>86048</v>
      </c>
      <c r="J27" s="5" t="s">
        <v>329</v>
      </c>
      <c r="K27" s="11">
        <v>187750</v>
      </c>
    </row>
    <row r="28" spans="1:11" x14ac:dyDescent="0.3">
      <c r="D28" s="5">
        <v>16</v>
      </c>
      <c r="E28" s="11">
        <v>78938</v>
      </c>
    </row>
    <row r="29" spans="1:11" x14ac:dyDescent="0.3">
      <c r="D29" s="5">
        <v>17</v>
      </c>
      <c r="E29" s="11">
        <v>69380</v>
      </c>
    </row>
    <row r="30" spans="1:11" x14ac:dyDescent="0.3">
      <c r="D30" s="5">
        <v>18</v>
      </c>
      <c r="E30" s="11">
        <v>73485</v>
      </c>
    </row>
    <row r="31" spans="1:11" x14ac:dyDescent="0.3">
      <c r="D31" s="5">
        <v>19</v>
      </c>
      <c r="E31" s="11">
        <v>87682</v>
      </c>
    </row>
    <row r="32" spans="1:11" x14ac:dyDescent="0.3">
      <c r="D32" s="5">
        <v>20</v>
      </c>
      <c r="E32" s="11">
        <v>86590</v>
      </c>
    </row>
    <row r="33" spans="4:5" x14ac:dyDescent="0.3">
      <c r="D33" s="5">
        <v>21</v>
      </c>
      <c r="E33" s="11">
        <v>91024</v>
      </c>
    </row>
    <row r="34" spans="4:5" x14ac:dyDescent="0.3">
      <c r="D34" s="5">
        <v>22</v>
      </c>
      <c r="E34" s="11">
        <v>83163</v>
      </c>
    </row>
    <row r="35" spans="4:5" x14ac:dyDescent="0.3">
      <c r="D35" s="5">
        <v>23</v>
      </c>
      <c r="E35" s="11">
        <v>81751</v>
      </c>
    </row>
    <row r="36" spans="4:5" x14ac:dyDescent="0.3">
      <c r="D36" s="5" t="s">
        <v>329</v>
      </c>
      <c r="E36" s="11">
        <v>1968923</v>
      </c>
    </row>
  </sheetData>
  <mergeCells count="8">
    <mergeCell ref="J15:K15"/>
    <mergeCell ref="A17:B17"/>
    <mergeCell ref="A1:B1"/>
    <mergeCell ref="D1:E1"/>
    <mergeCell ref="G1:H1"/>
    <mergeCell ref="J1:K1"/>
    <mergeCell ref="D10:E10"/>
    <mergeCell ref="G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96F4-93B8-4F1D-9370-C3DA5FCAABE1}">
  <dimension ref="A1:M1201"/>
  <sheetViews>
    <sheetView workbookViewId="0">
      <selection activeCell="M2" sqref="M2"/>
    </sheetView>
  </sheetViews>
  <sheetFormatPr defaultRowHeight="14.4" x14ac:dyDescent="0.3"/>
  <cols>
    <col min="1" max="1" width="9.44140625" customWidth="1"/>
    <col min="3" max="3" width="11" customWidth="1"/>
    <col min="5" max="5" width="10.44140625" customWidth="1"/>
    <col min="6" max="6" width="11.77734375" customWidth="1"/>
    <col min="7" max="7" width="10.21875" customWidth="1"/>
  </cols>
  <sheetData>
    <row r="1" spans="1:13" x14ac:dyDescent="0.3">
      <c r="A1" t="s">
        <v>0</v>
      </c>
      <c r="B1" t="s">
        <v>324</v>
      </c>
      <c r="C1" t="s">
        <v>1</v>
      </c>
      <c r="D1" t="s">
        <v>2</v>
      </c>
      <c r="E1" t="s">
        <v>3</v>
      </c>
      <c r="F1" t="s">
        <v>4</v>
      </c>
      <c r="G1" t="s">
        <v>5</v>
      </c>
      <c r="H1" t="s">
        <v>6</v>
      </c>
      <c r="I1" t="s">
        <v>7</v>
      </c>
      <c r="J1" t="s">
        <v>8</v>
      </c>
      <c r="K1" t="s">
        <v>325</v>
      </c>
      <c r="L1" t="s">
        <v>326</v>
      </c>
      <c r="M1" t="s">
        <v>327</v>
      </c>
    </row>
    <row r="2" spans="1:13" x14ac:dyDescent="0.3">
      <c r="A2">
        <v>1001</v>
      </c>
      <c r="B2" s="3">
        <v>44927</v>
      </c>
      <c r="C2" s="1">
        <v>44927</v>
      </c>
      <c r="D2" t="s">
        <v>9</v>
      </c>
      <c r="E2" t="s">
        <v>10</v>
      </c>
      <c r="F2" t="s">
        <v>11</v>
      </c>
      <c r="G2" t="s">
        <v>12</v>
      </c>
      <c r="H2">
        <v>4</v>
      </c>
      <c r="I2">
        <v>657</v>
      </c>
      <c r="J2">
        <v>2628</v>
      </c>
      <c r="K2" t="str">
        <f>TEXT(Table1[[#This Row],[Date]],"dddd")</f>
        <v>Sunday</v>
      </c>
      <c r="L2" t="str">
        <f>TEXT(Table1[[#This Row],[Date]],"mmm-yyyy")</f>
        <v>Jan-2023</v>
      </c>
      <c r="M2">
        <f>HOUR(Table1[[#This Row],[Time]])</f>
        <v>0</v>
      </c>
    </row>
    <row r="3" spans="1:13" x14ac:dyDescent="0.3">
      <c r="A3">
        <v>1002</v>
      </c>
      <c r="B3" s="3">
        <v>44927.303586319445</v>
      </c>
      <c r="C3" s="1">
        <v>44927.303586319445</v>
      </c>
      <c r="D3" t="s">
        <v>13</v>
      </c>
      <c r="E3" t="s">
        <v>14</v>
      </c>
      <c r="F3" t="s">
        <v>15</v>
      </c>
      <c r="G3" t="s">
        <v>12</v>
      </c>
      <c r="H3">
        <v>5</v>
      </c>
      <c r="I3">
        <v>675</v>
      </c>
      <c r="J3">
        <v>3375</v>
      </c>
      <c r="K3" t="str">
        <f>TEXT(Table1[[#This Row],[Date]],"dddd")</f>
        <v>Sunday</v>
      </c>
      <c r="L3" t="str">
        <f>TEXT(Table1[[#This Row],[Date]],"mmm-yyyy")</f>
        <v>Jan-2023</v>
      </c>
      <c r="M3">
        <f>HOUR(Table1[[#This Row],[Time]])</f>
        <v>7</v>
      </c>
    </row>
    <row r="4" spans="1:13" x14ac:dyDescent="0.3">
      <c r="A4">
        <v>1003</v>
      </c>
      <c r="B4" s="3">
        <v>44927.607172638891</v>
      </c>
      <c r="C4" s="1">
        <v>44927.607172638891</v>
      </c>
      <c r="D4" t="s">
        <v>16</v>
      </c>
      <c r="E4" t="s">
        <v>17</v>
      </c>
      <c r="F4" t="s">
        <v>18</v>
      </c>
      <c r="G4" t="s">
        <v>19</v>
      </c>
      <c r="H4">
        <v>3</v>
      </c>
      <c r="I4">
        <v>229</v>
      </c>
      <c r="J4">
        <v>687</v>
      </c>
      <c r="K4" t="str">
        <f>TEXT(Table1[[#This Row],[Date]],"dddd")</f>
        <v>Sunday</v>
      </c>
      <c r="L4" t="str">
        <f>TEXT(Table1[[#This Row],[Date]],"mmm-yyyy")</f>
        <v>Jan-2023</v>
      </c>
      <c r="M4">
        <f>HOUR(Table1[[#This Row],[Time]])</f>
        <v>14</v>
      </c>
    </row>
    <row r="5" spans="1:13" x14ac:dyDescent="0.3">
      <c r="A5">
        <v>1004</v>
      </c>
      <c r="B5" s="3">
        <v>44927.910758969905</v>
      </c>
      <c r="C5" s="1">
        <v>44927.910758969905</v>
      </c>
      <c r="D5" t="s">
        <v>20</v>
      </c>
      <c r="E5" t="s">
        <v>10</v>
      </c>
      <c r="F5" t="s">
        <v>15</v>
      </c>
      <c r="G5" t="s">
        <v>19</v>
      </c>
      <c r="H5">
        <v>5</v>
      </c>
      <c r="I5">
        <v>921</v>
      </c>
      <c r="J5">
        <v>4605</v>
      </c>
      <c r="K5" t="str">
        <f>TEXT(Table1[[#This Row],[Date]],"dddd")</f>
        <v>Sunday</v>
      </c>
      <c r="L5" t="str">
        <f>TEXT(Table1[[#This Row],[Date]],"mmm-yyyy")</f>
        <v>Jan-2023</v>
      </c>
      <c r="M5">
        <f>HOUR(Table1[[#This Row],[Time]])</f>
        <v>21</v>
      </c>
    </row>
    <row r="6" spans="1:13" x14ac:dyDescent="0.3">
      <c r="A6">
        <v>1005</v>
      </c>
      <c r="B6" s="3">
        <v>44928.214345289351</v>
      </c>
      <c r="C6" s="1">
        <v>44928.214345289351</v>
      </c>
      <c r="D6" t="s">
        <v>21</v>
      </c>
      <c r="E6" t="s">
        <v>10</v>
      </c>
      <c r="F6" t="s">
        <v>11</v>
      </c>
      <c r="G6" t="s">
        <v>22</v>
      </c>
      <c r="H6">
        <v>5</v>
      </c>
      <c r="I6">
        <v>462</v>
      </c>
      <c r="J6">
        <v>2310</v>
      </c>
      <c r="K6" t="str">
        <f>TEXT(Table1[[#This Row],[Date]],"dddd")</f>
        <v>Monday</v>
      </c>
      <c r="L6" t="str">
        <f>TEXT(Table1[[#This Row],[Date]],"mmm-yyyy")</f>
        <v>Jan-2023</v>
      </c>
      <c r="M6">
        <f>HOUR(Table1[[#This Row],[Time]])</f>
        <v>5</v>
      </c>
    </row>
    <row r="7" spans="1:13" x14ac:dyDescent="0.3">
      <c r="A7">
        <v>1006</v>
      </c>
      <c r="B7" s="3">
        <v>44928.517931608796</v>
      </c>
      <c r="C7" s="1">
        <v>44928.517931608796</v>
      </c>
      <c r="D7" t="s">
        <v>23</v>
      </c>
      <c r="E7" t="s">
        <v>17</v>
      </c>
      <c r="F7" t="s">
        <v>24</v>
      </c>
      <c r="G7" t="s">
        <v>25</v>
      </c>
      <c r="H7">
        <v>2</v>
      </c>
      <c r="I7">
        <v>804</v>
      </c>
      <c r="J7">
        <v>1608</v>
      </c>
      <c r="K7" t="str">
        <f>TEXT(Table1[[#This Row],[Date]],"dddd")</f>
        <v>Monday</v>
      </c>
      <c r="L7" t="str">
        <f>TEXT(Table1[[#This Row],[Date]],"mmm-yyyy")</f>
        <v>Jan-2023</v>
      </c>
      <c r="M7">
        <f>HOUR(Table1[[#This Row],[Time]])</f>
        <v>12</v>
      </c>
    </row>
    <row r="8" spans="1:13" x14ac:dyDescent="0.3">
      <c r="A8">
        <v>1007</v>
      </c>
      <c r="B8" s="3">
        <v>44928.821517928242</v>
      </c>
      <c r="C8" s="1">
        <v>44928.821517928242</v>
      </c>
      <c r="D8" t="s">
        <v>26</v>
      </c>
      <c r="E8" t="s">
        <v>17</v>
      </c>
      <c r="F8" t="s">
        <v>11</v>
      </c>
      <c r="G8" t="s">
        <v>12</v>
      </c>
      <c r="H8">
        <v>3</v>
      </c>
      <c r="I8">
        <v>918</v>
      </c>
      <c r="J8">
        <v>2754</v>
      </c>
      <c r="K8" t="str">
        <f>TEXT(Table1[[#This Row],[Date]],"dddd")</f>
        <v>Monday</v>
      </c>
      <c r="L8" t="str">
        <f>TEXT(Table1[[#This Row],[Date]],"mmm-yyyy")</f>
        <v>Jan-2023</v>
      </c>
      <c r="M8">
        <f>HOUR(Table1[[#This Row],[Time]])</f>
        <v>19</v>
      </c>
    </row>
    <row r="9" spans="1:13" x14ac:dyDescent="0.3">
      <c r="A9">
        <v>1008</v>
      </c>
      <c r="B9" s="3">
        <v>44929.125104259256</v>
      </c>
      <c r="C9" s="1">
        <v>44929.125104259256</v>
      </c>
      <c r="D9" t="s">
        <v>27</v>
      </c>
      <c r="E9" t="s">
        <v>28</v>
      </c>
      <c r="F9" t="s">
        <v>24</v>
      </c>
      <c r="G9" t="s">
        <v>29</v>
      </c>
      <c r="H9">
        <v>3</v>
      </c>
      <c r="I9">
        <v>792</v>
      </c>
      <c r="J9">
        <v>2376</v>
      </c>
      <c r="K9" t="str">
        <f>TEXT(Table1[[#This Row],[Date]],"dddd")</f>
        <v>Tuesday</v>
      </c>
      <c r="L9" t="str">
        <f>TEXT(Table1[[#This Row],[Date]],"mmm-yyyy")</f>
        <v>Jan-2023</v>
      </c>
      <c r="M9">
        <f>HOUR(Table1[[#This Row],[Time]])</f>
        <v>3</v>
      </c>
    </row>
    <row r="10" spans="1:13" x14ac:dyDescent="0.3">
      <c r="A10">
        <v>1009</v>
      </c>
      <c r="B10" s="3">
        <v>44929.428690578701</v>
      </c>
      <c r="C10" s="1">
        <v>44929.428690578701</v>
      </c>
      <c r="D10" t="s">
        <v>30</v>
      </c>
      <c r="E10" t="s">
        <v>10</v>
      </c>
      <c r="F10" t="s">
        <v>11</v>
      </c>
      <c r="G10" t="s">
        <v>25</v>
      </c>
      <c r="H10">
        <v>3</v>
      </c>
      <c r="I10">
        <v>391</v>
      </c>
      <c r="J10">
        <v>1173</v>
      </c>
      <c r="K10" t="str">
        <f>TEXT(Table1[[#This Row],[Date]],"dddd")</f>
        <v>Tuesday</v>
      </c>
      <c r="L10" t="str">
        <f>TEXT(Table1[[#This Row],[Date]],"mmm-yyyy")</f>
        <v>Jan-2023</v>
      </c>
      <c r="M10">
        <f>HOUR(Table1[[#This Row],[Time]])</f>
        <v>10</v>
      </c>
    </row>
    <row r="11" spans="1:13" x14ac:dyDescent="0.3">
      <c r="A11">
        <v>1010</v>
      </c>
      <c r="B11" s="3">
        <v>44929.732276898147</v>
      </c>
      <c r="C11" s="1">
        <v>44929.732276898147</v>
      </c>
      <c r="D11" t="s">
        <v>31</v>
      </c>
      <c r="E11" t="s">
        <v>17</v>
      </c>
      <c r="F11" t="s">
        <v>18</v>
      </c>
      <c r="G11" t="s">
        <v>12</v>
      </c>
      <c r="H11">
        <v>5</v>
      </c>
      <c r="I11">
        <v>470</v>
      </c>
      <c r="J11">
        <v>2350</v>
      </c>
      <c r="K11" t="str">
        <f>TEXT(Table1[[#This Row],[Date]],"dddd")</f>
        <v>Tuesday</v>
      </c>
      <c r="L11" t="str">
        <f>TEXT(Table1[[#This Row],[Date]],"mmm-yyyy")</f>
        <v>Jan-2023</v>
      </c>
      <c r="M11">
        <f>HOUR(Table1[[#This Row],[Time]])</f>
        <v>17</v>
      </c>
    </row>
    <row r="12" spans="1:13" x14ac:dyDescent="0.3">
      <c r="A12">
        <v>1011</v>
      </c>
      <c r="B12" s="3">
        <v>44930.035863217592</v>
      </c>
      <c r="C12" s="1">
        <v>44930.035863217592</v>
      </c>
      <c r="D12" t="s">
        <v>32</v>
      </c>
      <c r="E12" t="s">
        <v>14</v>
      </c>
      <c r="F12" t="s">
        <v>24</v>
      </c>
      <c r="G12" t="s">
        <v>33</v>
      </c>
      <c r="H12">
        <v>4</v>
      </c>
      <c r="I12">
        <v>893</v>
      </c>
      <c r="J12">
        <v>3572</v>
      </c>
      <c r="K12" t="str">
        <f>TEXT(Table1[[#This Row],[Date]],"dddd")</f>
        <v>Wednesday</v>
      </c>
      <c r="L12" t="str">
        <f>TEXT(Table1[[#This Row],[Date]],"mmm-yyyy")</f>
        <v>Jan-2023</v>
      </c>
      <c r="M12">
        <f>HOUR(Table1[[#This Row],[Time]])</f>
        <v>0</v>
      </c>
    </row>
    <row r="13" spans="1:13" x14ac:dyDescent="0.3">
      <c r="A13">
        <v>1012</v>
      </c>
      <c r="B13" s="3">
        <v>44930.339449537038</v>
      </c>
      <c r="C13" s="1">
        <v>44930.339449537038</v>
      </c>
      <c r="D13" t="s">
        <v>34</v>
      </c>
      <c r="E13" t="s">
        <v>10</v>
      </c>
      <c r="F13" t="s">
        <v>24</v>
      </c>
      <c r="G13" t="s">
        <v>35</v>
      </c>
      <c r="H13">
        <v>3</v>
      </c>
      <c r="I13">
        <v>128</v>
      </c>
      <c r="J13">
        <v>384</v>
      </c>
      <c r="K13" t="str">
        <f>TEXT(Table1[[#This Row],[Date]],"dddd")</f>
        <v>Wednesday</v>
      </c>
      <c r="L13" t="str">
        <f>TEXT(Table1[[#This Row],[Date]],"mmm-yyyy")</f>
        <v>Jan-2023</v>
      </c>
      <c r="M13">
        <f>HOUR(Table1[[#This Row],[Time]])</f>
        <v>8</v>
      </c>
    </row>
    <row r="14" spans="1:13" x14ac:dyDescent="0.3">
      <c r="A14">
        <v>1013</v>
      </c>
      <c r="B14" s="3">
        <v>44930.643035868059</v>
      </c>
      <c r="C14" s="1">
        <v>44930.643035868059</v>
      </c>
      <c r="D14" t="s">
        <v>36</v>
      </c>
      <c r="E14" t="s">
        <v>28</v>
      </c>
      <c r="F14" t="s">
        <v>15</v>
      </c>
      <c r="G14" t="s">
        <v>19</v>
      </c>
      <c r="H14">
        <v>5</v>
      </c>
      <c r="I14">
        <v>248</v>
      </c>
      <c r="J14">
        <v>1240</v>
      </c>
      <c r="K14" t="str">
        <f>TEXT(Table1[[#This Row],[Date]],"dddd")</f>
        <v>Wednesday</v>
      </c>
      <c r="L14" t="str">
        <f>TEXT(Table1[[#This Row],[Date]],"mmm-yyyy")</f>
        <v>Jan-2023</v>
      </c>
      <c r="M14">
        <f>HOUR(Table1[[#This Row],[Time]])</f>
        <v>15</v>
      </c>
    </row>
    <row r="15" spans="1:13" x14ac:dyDescent="0.3">
      <c r="A15">
        <v>1014</v>
      </c>
      <c r="B15" s="3">
        <v>44930.946622187497</v>
      </c>
      <c r="C15" s="1">
        <v>44930.946622187497</v>
      </c>
      <c r="D15" t="s">
        <v>37</v>
      </c>
      <c r="E15" t="s">
        <v>17</v>
      </c>
      <c r="F15" t="s">
        <v>11</v>
      </c>
      <c r="G15" t="s">
        <v>35</v>
      </c>
      <c r="H15">
        <v>2</v>
      </c>
      <c r="I15">
        <v>878</v>
      </c>
      <c r="J15">
        <v>1756</v>
      </c>
      <c r="K15" t="str">
        <f>TEXT(Table1[[#This Row],[Date]],"dddd")</f>
        <v>Wednesday</v>
      </c>
      <c r="L15" t="str">
        <f>TEXT(Table1[[#This Row],[Date]],"mmm-yyyy")</f>
        <v>Jan-2023</v>
      </c>
      <c r="M15">
        <f>HOUR(Table1[[#This Row],[Time]])</f>
        <v>22</v>
      </c>
    </row>
    <row r="16" spans="1:13" x14ac:dyDescent="0.3">
      <c r="A16">
        <v>1015</v>
      </c>
      <c r="B16" s="3">
        <v>44931.250208506943</v>
      </c>
      <c r="C16" s="1">
        <v>44931.250208506943</v>
      </c>
      <c r="D16" t="s">
        <v>38</v>
      </c>
      <c r="E16" t="s">
        <v>10</v>
      </c>
      <c r="F16" t="s">
        <v>39</v>
      </c>
      <c r="G16" t="s">
        <v>40</v>
      </c>
      <c r="H16">
        <v>4</v>
      </c>
      <c r="I16">
        <v>395</v>
      </c>
      <c r="J16">
        <v>1580</v>
      </c>
      <c r="K16" t="str">
        <f>TEXT(Table1[[#This Row],[Date]],"dddd")</f>
        <v>Thursday</v>
      </c>
      <c r="L16" t="str">
        <f>TEXT(Table1[[#This Row],[Date]],"mmm-yyyy")</f>
        <v>Jan-2023</v>
      </c>
      <c r="M16">
        <f>HOUR(Table1[[#This Row],[Time]])</f>
        <v>6</v>
      </c>
    </row>
    <row r="17" spans="1:13" x14ac:dyDescent="0.3">
      <c r="A17">
        <v>1016</v>
      </c>
      <c r="B17" s="3">
        <v>44931.553794826388</v>
      </c>
      <c r="C17" s="1">
        <v>44931.553794826388</v>
      </c>
      <c r="D17" t="s">
        <v>41</v>
      </c>
      <c r="E17" t="s">
        <v>10</v>
      </c>
      <c r="F17" t="s">
        <v>39</v>
      </c>
      <c r="G17" t="s">
        <v>42</v>
      </c>
      <c r="H17">
        <v>2</v>
      </c>
      <c r="I17">
        <v>110</v>
      </c>
      <c r="J17">
        <v>220</v>
      </c>
      <c r="K17" t="str">
        <f>TEXT(Table1[[#This Row],[Date]],"dddd")</f>
        <v>Thursday</v>
      </c>
      <c r="L17" t="str">
        <f>TEXT(Table1[[#This Row],[Date]],"mmm-yyyy")</f>
        <v>Jan-2023</v>
      </c>
      <c r="M17">
        <f>HOUR(Table1[[#This Row],[Time]])</f>
        <v>13</v>
      </c>
    </row>
    <row r="18" spans="1:13" x14ac:dyDescent="0.3">
      <c r="A18">
        <v>1017</v>
      </c>
      <c r="B18" s="3">
        <v>44931.857381145834</v>
      </c>
      <c r="C18" s="1">
        <v>44931.857381145834</v>
      </c>
      <c r="D18" t="s">
        <v>43</v>
      </c>
      <c r="E18" t="s">
        <v>17</v>
      </c>
      <c r="F18" t="s">
        <v>15</v>
      </c>
      <c r="G18" t="s">
        <v>33</v>
      </c>
      <c r="H18">
        <v>4</v>
      </c>
      <c r="I18">
        <v>611</v>
      </c>
      <c r="J18">
        <v>2444</v>
      </c>
      <c r="K18" t="str">
        <f>TEXT(Table1[[#This Row],[Date]],"dddd")</f>
        <v>Thursday</v>
      </c>
      <c r="L18" t="str">
        <f>TEXT(Table1[[#This Row],[Date]],"mmm-yyyy")</f>
        <v>Jan-2023</v>
      </c>
      <c r="M18">
        <f>HOUR(Table1[[#This Row],[Time]])</f>
        <v>20</v>
      </c>
    </row>
    <row r="19" spans="1:13" x14ac:dyDescent="0.3">
      <c r="A19">
        <v>1018</v>
      </c>
      <c r="B19" s="3">
        <v>44932.160967476855</v>
      </c>
      <c r="C19" s="1">
        <v>44932.160967476855</v>
      </c>
      <c r="D19" t="s">
        <v>44</v>
      </c>
      <c r="E19" t="s">
        <v>17</v>
      </c>
      <c r="F19" t="s">
        <v>11</v>
      </c>
      <c r="G19" t="s">
        <v>22</v>
      </c>
      <c r="H19">
        <v>5</v>
      </c>
      <c r="I19">
        <v>775</v>
      </c>
      <c r="J19">
        <v>3875</v>
      </c>
      <c r="K19" t="str">
        <f>TEXT(Table1[[#This Row],[Date]],"dddd")</f>
        <v>Friday</v>
      </c>
      <c r="L19" t="str">
        <f>TEXT(Table1[[#This Row],[Date]],"mmm-yyyy")</f>
        <v>Jan-2023</v>
      </c>
      <c r="M19">
        <f>HOUR(Table1[[#This Row],[Time]])</f>
        <v>3</v>
      </c>
    </row>
    <row r="20" spans="1:13" x14ac:dyDescent="0.3">
      <c r="A20">
        <v>1019</v>
      </c>
      <c r="B20" s="3">
        <v>44932.464553796293</v>
      </c>
      <c r="C20" s="1">
        <v>44932.464553796293</v>
      </c>
      <c r="D20" t="s">
        <v>45</v>
      </c>
      <c r="E20" t="s">
        <v>17</v>
      </c>
      <c r="F20" t="s">
        <v>18</v>
      </c>
      <c r="G20" t="s">
        <v>33</v>
      </c>
      <c r="H20">
        <v>1</v>
      </c>
      <c r="I20">
        <v>212</v>
      </c>
      <c r="J20">
        <v>212</v>
      </c>
      <c r="K20" t="str">
        <f>TEXT(Table1[[#This Row],[Date]],"dddd")</f>
        <v>Friday</v>
      </c>
      <c r="L20" t="str">
        <f>TEXT(Table1[[#This Row],[Date]],"mmm-yyyy")</f>
        <v>Jan-2023</v>
      </c>
      <c r="M20">
        <f>HOUR(Table1[[#This Row],[Time]])</f>
        <v>11</v>
      </c>
    </row>
    <row r="21" spans="1:13" x14ac:dyDescent="0.3">
      <c r="A21">
        <v>1020</v>
      </c>
      <c r="B21" s="3">
        <v>44932.768140115739</v>
      </c>
      <c r="C21" s="1">
        <v>44932.768140115739</v>
      </c>
      <c r="D21" t="s">
        <v>27</v>
      </c>
      <c r="E21" t="s">
        <v>10</v>
      </c>
      <c r="F21" t="s">
        <v>15</v>
      </c>
      <c r="G21" t="s">
        <v>35</v>
      </c>
      <c r="H21">
        <v>4</v>
      </c>
      <c r="I21">
        <v>286</v>
      </c>
      <c r="J21">
        <v>1144</v>
      </c>
      <c r="K21" t="str">
        <f>TEXT(Table1[[#This Row],[Date]],"dddd")</f>
        <v>Friday</v>
      </c>
      <c r="L21" t="str">
        <f>TEXT(Table1[[#This Row],[Date]],"mmm-yyyy")</f>
        <v>Jan-2023</v>
      </c>
      <c r="M21">
        <f>HOUR(Table1[[#This Row],[Time]])</f>
        <v>18</v>
      </c>
    </row>
    <row r="22" spans="1:13" x14ac:dyDescent="0.3">
      <c r="A22">
        <v>1021</v>
      </c>
      <c r="B22" s="3">
        <v>44933.071726435184</v>
      </c>
      <c r="C22" s="1">
        <v>44933.071726435184</v>
      </c>
      <c r="D22" t="s">
        <v>46</v>
      </c>
      <c r="E22" t="s">
        <v>17</v>
      </c>
      <c r="F22" t="s">
        <v>24</v>
      </c>
      <c r="G22" t="s">
        <v>35</v>
      </c>
      <c r="H22">
        <v>2</v>
      </c>
      <c r="I22">
        <v>906</v>
      </c>
      <c r="J22">
        <v>1812</v>
      </c>
      <c r="K22" t="str">
        <f>TEXT(Table1[[#This Row],[Date]],"dddd")</f>
        <v>Saturday</v>
      </c>
      <c r="L22" t="str">
        <f>TEXT(Table1[[#This Row],[Date]],"mmm-yyyy")</f>
        <v>Jan-2023</v>
      </c>
      <c r="M22">
        <f>HOUR(Table1[[#This Row],[Time]])</f>
        <v>1</v>
      </c>
    </row>
    <row r="23" spans="1:13" x14ac:dyDescent="0.3">
      <c r="A23">
        <v>1022</v>
      </c>
      <c r="B23" s="3">
        <v>44933.375312766206</v>
      </c>
      <c r="C23" s="1">
        <v>44933.375312766206</v>
      </c>
      <c r="D23" t="s">
        <v>47</v>
      </c>
      <c r="E23" t="s">
        <v>17</v>
      </c>
      <c r="F23" t="s">
        <v>18</v>
      </c>
      <c r="G23" t="s">
        <v>12</v>
      </c>
      <c r="H23">
        <v>5</v>
      </c>
      <c r="I23">
        <v>843</v>
      </c>
      <c r="J23">
        <v>4215</v>
      </c>
      <c r="K23" t="str">
        <f>TEXT(Table1[[#This Row],[Date]],"dddd")</f>
        <v>Saturday</v>
      </c>
      <c r="L23" t="str">
        <f>TEXT(Table1[[#This Row],[Date]],"mmm-yyyy")</f>
        <v>Jan-2023</v>
      </c>
      <c r="M23">
        <f>HOUR(Table1[[#This Row],[Time]])</f>
        <v>9</v>
      </c>
    </row>
    <row r="24" spans="1:13" x14ac:dyDescent="0.3">
      <c r="A24">
        <v>1023</v>
      </c>
      <c r="B24" s="3">
        <v>44933.678899085651</v>
      </c>
      <c r="C24" s="1">
        <v>44933.678899085651</v>
      </c>
      <c r="D24" t="s">
        <v>48</v>
      </c>
      <c r="E24" t="s">
        <v>10</v>
      </c>
      <c r="F24" t="s">
        <v>11</v>
      </c>
      <c r="G24" t="s">
        <v>12</v>
      </c>
      <c r="H24">
        <v>4</v>
      </c>
      <c r="I24">
        <v>326</v>
      </c>
      <c r="J24">
        <v>1304</v>
      </c>
      <c r="K24" t="str">
        <f>TEXT(Table1[[#This Row],[Date]],"dddd")</f>
        <v>Saturday</v>
      </c>
      <c r="L24" t="str">
        <f>TEXT(Table1[[#This Row],[Date]],"mmm-yyyy")</f>
        <v>Jan-2023</v>
      </c>
      <c r="M24">
        <f>HOUR(Table1[[#This Row],[Time]])</f>
        <v>16</v>
      </c>
    </row>
    <row r="25" spans="1:13" x14ac:dyDescent="0.3">
      <c r="A25">
        <v>1024</v>
      </c>
      <c r="B25" s="3">
        <v>44933.982485405089</v>
      </c>
      <c r="C25" s="1">
        <v>44933.982485405089</v>
      </c>
      <c r="D25" t="s">
        <v>49</v>
      </c>
      <c r="E25" t="s">
        <v>10</v>
      </c>
      <c r="F25" t="s">
        <v>24</v>
      </c>
      <c r="G25" t="s">
        <v>40</v>
      </c>
      <c r="H25">
        <v>1</v>
      </c>
      <c r="I25">
        <v>409</v>
      </c>
      <c r="J25">
        <v>409</v>
      </c>
      <c r="K25" t="str">
        <f>TEXT(Table1[[#This Row],[Date]],"dddd")</f>
        <v>Saturday</v>
      </c>
      <c r="L25" t="str">
        <f>TEXT(Table1[[#This Row],[Date]],"mmm-yyyy")</f>
        <v>Jan-2023</v>
      </c>
      <c r="M25">
        <f>HOUR(Table1[[#This Row],[Time]])</f>
        <v>23</v>
      </c>
    </row>
    <row r="26" spans="1:13" x14ac:dyDescent="0.3">
      <c r="A26">
        <v>1025</v>
      </c>
      <c r="B26" s="3">
        <v>44934.286071724535</v>
      </c>
      <c r="C26" s="1">
        <v>44934.286071724535</v>
      </c>
      <c r="D26" t="s">
        <v>50</v>
      </c>
      <c r="E26" t="s">
        <v>28</v>
      </c>
      <c r="F26" t="s">
        <v>39</v>
      </c>
      <c r="G26" t="s">
        <v>25</v>
      </c>
      <c r="H26">
        <v>1</v>
      </c>
      <c r="I26">
        <v>197</v>
      </c>
      <c r="J26">
        <v>197</v>
      </c>
      <c r="K26" t="str">
        <f>TEXT(Table1[[#This Row],[Date]],"dddd")</f>
        <v>Sunday</v>
      </c>
      <c r="L26" t="str">
        <f>TEXT(Table1[[#This Row],[Date]],"mmm-yyyy")</f>
        <v>Jan-2023</v>
      </c>
      <c r="M26">
        <f>HOUR(Table1[[#This Row],[Time]])</f>
        <v>6</v>
      </c>
    </row>
    <row r="27" spans="1:13" x14ac:dyDescent="0.3">
      <c r="A27">
        <v>1026</v>
      </c>
      <c r="B27" s="3">
        <v>44934.58965804398</v>
      </c>
      <c r="C27" s="1">
        <v>44934.58965804398</v>
      </c>
      <c r="D27" t="s">
        <v>51</v>
      </c>
      <c r="E27" t="s">
        <v>14</v>
      </c>
      <c r="F27" t="s">
        <v>11</v>
      </c>
      <c r="G27" t="s">
        <v>40</v>
      </c>
      <c r="H27">
        <v>3</v>
      </c>
      <c r="I27">
        <v>154</v>
      </c>
      <c r="J27">
        <v>462</v>
      </c>
      <c r="K27" t="str">
        <f>TEXT(Table1[[#This Row],[Date]],"dddd")</f>
        <v>Sunday</v>
      </c>
      <c r="L27" t="str">
        <f>TEXT(Table1[[#This Row],[Date]],"mmm-yyyy")</f>
        <v>Jan-2023</v>
      </c>
      <c r="M27">
        <f>HOUR(Table1[[#This Row],[Time]])</f>
        <v>14</v>
      </c>
    </row>
    <row r="28" spans="1:13" x14ac:dyDescent="0.3">
      <c r="A28">
        <v>1027</v>
      </c>
      <c r="B28" s="3">
        <v>44934.893244375002</v>
      </c>
      <c r="C28" s="1">
        <v>44934.893244375002</v>
      </c>
      <c r="D28" t="s">
        <v>31</v>
      </c>
      <c r="E28" t="s">
        <v>10</v>
      </c>
      <c r="F28" t="s">
        <v>24</v>
      </c>
      <c r="G28" t="s">
        <v>22</v>
      </c>
      <c r="H28">
        <v>3</v>
      </c>
      <c r="I28">
        <v>722</v>
      </c>
      <c r="J28">
        <v>2166</v>
      </c>
      <c r="K28" t="str">
        <f>TEXT(Table1[[#This Row],[Date]],"dddd")</f>
        <v>Sunday</v>
      </c>
      <c r="L28" t="str">
        <f>TEXT(Table1[[#This Row],[Date]],"mmm-yyyy")</f>
        <v>Jan-2023</v>
      </c>
      <c r="M28">
        <f>HOUR(Table1[[#This Row],[Time]])</f>
        <v>21</v>
      </c>
    </row>
    <row r="29" spans="1:13" x14ac:dyDescent="0.3">
      <c r="A29">
        <v>1028</v>
      </c>
      <c r="B29" s="3">
        <v>44935.196830694447</v>
      </c>
      <c r="C29" s="1">
        <v>44935.196830694447</v>
      </c>
      <c r="D29" t="s">
        <v>52</v>
      </c>
      <c r="E29" t="s">
        <v>14</v>
      </c>
      <c r="F29" t="s">
        <v>11</v>
      </c>
      <c r="G29" t="s">
        <v>12</v>
      </c>
      <c r="H29">
        <v>2</v>
      </c>
      <c r="I29">
        <v>763</v>
      </c>
      <c r="J29">
        <v>1526</v>
      </c>
      <c r="K29" t="str">
        <f>TEXT(Table1[[#This Row],[Date]],"dddd")</f>
        <v>Monday</v>
      </c>
      <c r="L29" t="str">
        <f>TEXT(Table1[[#This Row],[Date]],"mmm-yyyy")</f>
        <v>Jan-2023</v>
      </c>
      <c r="M29">
        <f>HOUR(Table1[[#This Row],[Time]])</f>
        <v>4</v>
      </c>
    </row>
    <row r="30" spans="1:13" x14ac:dyDescent="0.3">
      <c r="A30">
        <v>1029</v>
      </c>
      <c r="B30" s="3">
        <v>44935.500417013885</v>
      </c>
      <c r="C30" s="1">
        <v>44935.500417013885</v>
      </c>
      <c r="D30" t="s">
        <v>49</v>
      </c>
      <c r="E30" t="s">
        <v>28</v>
      </c>
      <c r="F30" t="s">
        <v>24</v>
      </c>
      <c r="G30" t="s">
        <v>22</v>
      </c>
      <c r="H30">
        <v>4</v>
      </c>
      <c r="I30">
        <v>857</v>
      </c>
      <c r="J30">
        <v>3428</v>
      </c>
      <c r="K30" t="str">
        <f>TEXT(Table1[[#This Row],[Date]],"dddd")</f>
        <v>Monday</v>
      </c>
      <c r="L30" t="str">
        <f>TEXT(Table1[[#This Row],[Date]],"mmm-yyyy")</f>
        <v>Jan-2023</v>
      </c>
      <c r="M30">
        <f>HOUR(Table1[[#This Row],[Time]])</f>
        <v>12</v>
      </c>
    </row>
    <row r="31" spans="1:13" x14ac:dyDescent="0.3">
      <c r="A31">
        <v>1030</v>
      </c>
      <c r="B31" s="3">
        <v>44935.804003333331</v>
      </c>
      <c r="C31" s="1">
        <v>44935.804003333331</v>
      </c>
      <c r="D31" t="s">
        <v>53</v>
      </c>
      <c r="E31" t="s">
        <v>28</v>
      </c>
      <c r="F31" t="s">
        <v>11</v>
      </c>
      <c r="G31" t="s">
        <v>12</v>
      </c>
      <c r="H31">
        <v>4</v>
      </c>
      <c r="I31">
        <v>505</v>
      </c>
      <c r="J31">
        <v>2020</v>
      </c>
      <c r="K31" t="str">
        <f>TEXT(Table1[[#This Row],[Date]],"dddd")</f>
        <v>Monday</v>
      </c>
      <c r="L31" t="str">
        <f>TEXT(Table1[[#This Row],[Date]],"mmm-yyyy")</f>
        <v>Jan-2023</v>
      </c>
      <c r="M31">
        <f>HOUR(Table1[[#This Row],[Time]])</f>
        <v>19</v>
      </c>
    </row>
    <row r="32" spans="1:13" x14ac:dyDescent="0.3">
      <c r="A32">
        <v>1031</v>
      </c>
      <c r="B32" s="3">
        <v>44936.107589652776</v>
      </c>
      <c r="C32" s="1">
        <v>44936.107589652776</v>
      </c>
      <c r="D32" t="s">
        <v>54</v>
      </c>
      <c r="E32" t="s">
        <v>17</v>
      </c>
      <c r="F32" t="s">
        <v>39</v>
      </c>
      <c r="G32" t="s">
        <v>12</v>
      </c>
      <c r="H32">
        <v>3</v>
      </c>
      <c r="I32">
        <v>168</v>
      </c>
      <c r="J32">
        <v>504</v>
      </c>
      <c r="K32" t="str">
        <f>TEXT(Table1[[#This Row],[Date]],"dddd")</f>
        <v>Tuesday</v>
      </c>
      <c r="L32" t="str">
        <f>TEXT(Table1[[#This Row],[Date]],"mmm-yyyy")</f>
        <v>Jan-2023</v>
      </c>
      <c r="M32">
        <f>HOUR(Table1[[#This Row],[Time]])</f>
        <v>2</v>
      </c>
    </row>
    <row r="33" spans="1:13" x14ac:dyDescent="0.3">
      <c r="A33">
        <v>1032</v>
      </c>
      <c r="B33" s="3">
        <v>44936.411175983798</v>
      </c>
      <c r="C33" s="1">
        <v>44936.411175983798</v>
      </c>
      <c r="D33" t="s">
        <v>55</v>
      </c>
      <c r="E33" t="s">
        <v>28</v>
      </c>
      <c r="F33" t="s">
        <v>15</v>
      </c>
      <c r="G33" t="s">
        <v>12</v>
      </c>
      <c r="H33">
        <v>4</v>
      </c>
      <c r="I33">
        <v>411</v>
      </c>
      <c r="J33">
        <v>1644</v>
      </c>
      <c r="K33" t="str">
        <f>TEXT(Table1[[#This Row],[Date]],"dddd")</f>
        <v>Tuesday</v>
      </c>
      <c r="L33" t="str">
        <f>TEXT(Table1[[#This Row],[Date]],"mmm-yyyy")</f>
        <v>Jan-2023</v>
      </c>
      <c r="M33">
        <f>HOUR(Table1[[#This Row],[Time]])</f>
        <v>9</v>
      </c>
    </row>
    <row r="34" spans="1:13" x14ac:dyDescent="0.3">
      <c r="A34">
        <v>1033</v>
      </c>
      <c r="B34" s="3">
        <v>44936.714762303243</v>
      </c>
      <c r="C34" s="1">
        <v>44936.714762303243</v>
      </c>
      <c r="D34" t="s">
        <v>26</v>
      </c>
      <c r="E34" t="s">
        <v>17</v>
      </c>
      <c r="F34" t="s">
        <v>24</v>
      </c>
      <c r="G34" t="s">
        <v>29</v>
      </c>
      <c r="H34">
        <v>4</v>
      </c>
      <c r="I34">
        <v>388</v>
      </c>
      <c r="J34">
        <v>1552</v>
      </c>
      <c r="K34" t="str">
        <f>TEXT(Table1[[#This Row],[Date]],"dddd")</f>
        <v>Tuesday</v>
      </c>
      <c r="L34" t="str">
        <f>TEXT(Table1[[#This Row],[Date]],"mmm-yyyy")</f>
        <v>Jan-2023</v>
      </c>
      <c r="M34">
        <f>HOUR(Table1[[#This Row],[Time]])</f>
        <v>17</v>
      </c>
    </row>
    <row r="35" spans="1:13" x14ac:dyDescent="0.3">
      <c r="A35">
        <v>1034</v>
      </c>
      <c r="B35" s="3">
        <v>44937.018348622689</v>
      </c>
      <c r="C35" s="1">
        <v>44937.018348622689</v>
      </c>
      <c r="D35" t="s">
        <v>36</v>
      </c>
      <c r="E35" t="s">
        <v>17</v>
      </c>
      <c r="F35" t="s">
        <v>24</v>
      </c>
      <c r="G35" t="s">
        <v>56</v>
      </c>
      <c r="H35">
        <v>1</v>
      </c>
      <c r="I35">
        <v>861</v>
      </c>
      <c r="J35">
        <v>861</v>
      </c>
      <c r="K35" t="str">
        <f>TEXT(Table1[[#This Row],[Date]],"dddd")</f>
        <v>Wednesday</v>
      </c>
      <c r="L35" t="str">
        <f>TEXT(Table1[[#This Row],[Date]],"mmm-yyyy")</f>
        <v>Jan-2023</v>
      </c>
      <c r="M35">
        <f>HOUR(Table1[[#This Row],[Time]])</f>
        <v>0</v>
      </c>
    </row>
    <row r="36" spans="1:13" x14ac:dyDescent="0.3">
      <c r="A36">
        <v>1035</v>
      </c>
      <c r="B36" s="3">
        <v>44937.321934942127</v>
      </c>
      <c r="C36" s="1">
        <v>44937.321934942127</v>
      </c>
      <c r="D36" t="s">
        <v>57</v>
      </c>
      <c r="E36" t="s">
        <v>10</v>
      </c>
      <c r="F36" t="s">
        <v>39</v>
      </c>
      <c r="G36" t="s">
        <v>33</v>
      </c>
      <c r="H36">
        <v>3</v>
      </c>
      <c r="I36">
        <v>647</v>
      </c>
      <c r="J36">
        <v>1941</v>
      </c>
      <c r="K36" t="str">
        <f>TEXT(Table1[[#This Row],[Date]],"dddd")</f>
        <v>Wednesday</v>
      </c>
      <c r="L36" t="str">
        <f>TEXT(Table1[[#This Row],[Date]],"mmm-yyyy")</f>
        <v>Jan-2023</v>
      </c>
      <c r="M36">
        <f>HOUR(Table1[[#This Row],[Time]])</f>
        <v>7</v>
      </c>
    </row>
    <row r="37" spans="1:13" x14ac:dyDescent="0.3">
      <c r="A37">
        <v>1036</v>
      </c>
      <c r="B37" s="3">
        <v>44937.625521273148</v>
      </c>
      <c r="C37" s="1">
        <v>44937.625521273148</v>
      </c>
      <c r="D37" t="s">
        <v>58</v>
      </c>
      <c r="E37" t="s">
        <v>10</v>
      </c>
      <c r="F37" t="s">
        <v>15</v>
      </c>
      <c r="G37" t="s">
        <v>29</v>
      </c>
      <c r="H37">
        <v>5</v>
      </c>
      <c r="I37">
        <v>850</v>
      </c>
      <c r="J37">
        <v>4250</v>
      </c>
      <c r="K37" t="str">
        <f>TEXT(Table1[[#This Row],[Date]],"dddd")</f>
        <v>Wednesday</v>
      </c>
      <c r="L37" t="str">
        <f>TEXT(Table1[[#This Row],[Date]],"mmm-yyyy")</f>
        <v>Jan-2023</v>
      </c>
      <c r="M37">
        <f>HOUR(Table1[[#This Row],[Time]])</f>
        <v>15</v>
      </c>
    </row>
    <row r="38" spans="1:13" x14ac:dyDescent="0.3">
      <c r="A38">
        <v>1037</v>
      </c>
      <c r="B38" s="3">
        <v>44937.929107592594</v>
      </c>
      <c r="C38" s="1">
        <v>44937.929107592594</v>
      </c>
      <c r="D38" t="s">
        <v>59</v>
      </c>
      <c r="E38" t="s">
        <v>14</v>
      </c>
      <c r="F38" t="s">
        <v>11</v>
      </c>
      <c r="G38" t="s">
        <v>42</v>
      </c>
      <c r="H38">
        <v>3</v>
      </c>
      <c r="I38">
        <v>247</v>
      </c>
      <c r="J38">
        <v>741</v>
      </c>
      <c r="K38" t="str">
        <f>TEXT(Table1[[#This Row],[Date]],"dddd")</f>
        <v>Wednesday</v>
      </c>
      <c r="L38" t="str">
        <f>TEXT(Table1[[#This Row],[Date]],"mmm-yyyy")</f>
        <v>Jan-2023</v>
      </c>
      <c r="M38">
        <f>HOUR(Table1[[#This Row],[Time]])</f>
        <v>22</v>
      </c>
    </row>
    <row r="39" spans="1:13" x14ac:dyDescent="0.3">
      <c r="A39">
        <v>1038</v>
      </c>
      <c r="B39" s="3">
        <v>44938.232693912039</v>
      </c>
      <c r="C39" s="1">
        <v>44938.232693912039</v>
      </c>
      <c r="D39" t="s">
        <v>60</v>
      </c>
      <c r="E39" t="s">
        <v>17</v>
      </c>
      <c r="F39" t="s">
        <v>24</v>
      </c>
      <c r="G39" t="s">
        <v>35</v>
      </c>
      <c r="H39">
        <v>5</v>
      </c>
      <c r="I39">
        <v>566</v>
      </c>
      <c r="J39">
        <v>2830</v>
      </c>
      <c r="K39" t="str">
        <f>TEXT(Table1[[#This Row],[Date]],"dddd")</f>
        <v>Thursday</v>
      </c>
      <c r="L39" t="str">
        <f>TEXT(Table1[[#This Row],[Date]],"mmm-yyyy")</f>
        <v>Jan-2023</v>
      </c>
      <c r="M39">
        <f>HOUR(Table1[[#This Row],[Time]])</f>
        <v>5</v>
      </c>
    </row>
    <row r="40" spans="1:13" x14ac:dyDescent="0.3">
      <c r="A40">
        <v>1039</v>
      </c>
      <c r="B40" s="3">
        <v>44938.536280231485</v>
      </c>
      <c r="C40" s="1">
        <v>44938.536280231485</v>
      </c>
      <c r="D40" t="s">
        <v>61</v>
      </c>
      <c r="E40" t="s">
        <v>17</v>
      </c>
      <c r="F40" t="s">
        <v>15</v>
      </c>
      <c r="G40" t="s">
        <v>19</v>
      </c>
      <c r="H40">
        <v>1</v>
      </c>
      <c r="I40">
        <v>838</v>
      </c>
      <c r="J40">
        <v>838</v>
      </c>
      <c r="K40" t="str">
        <f>TEXT(Table1[[#This Row],[Date]],"dddd")</f>
        <v>Thursday</v>
      </c>
      <c r="L40" t="str">
        <f>TEXT(Table1[[#This Row],[Date]],"mmm-yyyy")</f>
        <v>Jan-2023</v>
      </c>
      <c r="M40">
        <f>HOUR(Table1[[#This Row],[Time]])</f>
        <v>12</v>
      </c>
    </row>
    <row r="41" spans="1:13" x14ac:dyDescent="0.3">
      <c r="A41">
        <v>1040</v>
      </c>
      <c r="B41" s="3">
        <v>44938.839866550923</v>
      </c>
      <c r="C41" s="1">
        <v>44938.839866550923</v>
      </c>
      <c r="D41" t="s">
        <v>62</v>
      </c>
      <c r="E41" t="s">
        <v>14</v>
      </c>
      <c r="F41" t="s">
        <v>11</v>
      </c>
      <c r="G41" t="s">
        <v>22</v>
      </c>
      <c r="H41">
        <v>2</v>
      </c>
      <c r="I41">
        <v>343</v>
      </c>
      <c r="J41">
        <v>686</v>
      </c>
      <c r="K41" t="str">
        <f>TEXT(Table1[[#This Row],[Date]],"dddd")</f>
        <v>Thursday</v>
      </c>
      <c r="L41" t="str">
        <f>TEXT(Table1[[#This Row],[Date]],"mmm-yyyy")</f>
        <v>Jan-2023</v>
      </c>
      <c r="M41">
        <f>HOUR(Table1[[#This Row],[Time]])</f>
        <v>20</v>
      </c>
    </row>
    <row r="42" spans="1:13" x14ac:dyDescent="0.3">
      <c r="A42">
        <v>1041</v>
      </c>
      <c r="B42" s="3">
        <v>44939.143452881945</v>
      </c>
      <c r="C42" s="1">
        <v>44939.143452881945</v>
      </c>
      <c r="D42" t="s">
        <v>63</v>
      </c>
      <c r="E42" t="s">
        <v>17</v>
      </c>
      <c r="F42" t="s">
        <v>24</v>
      </c>
      <c r="G42" t="s">
        <v>56</v>
      </c>
      <c r="H42">
        <v>4</v>
      </c>
      <c r="I42">
        <v>590</v>
      </c>
      <c r="J42">
        <v>2360</v>
      </c>
      <c r="K42" t="str">
        <f>TEXT(Table1[[#This Row],[Date]],"dddd")</f>
        <v>Friday</v>
      </c>
      <c r="L42" t="str">
        <f>TEXT(Table1[[#This Row],[Date]],"mmm-yyyy")</f>
        <v>Jan-2023</v>
      </c>
      <c r="M42">
        <f>HOUR(Table1[[#This Row],[Time]])</f>
        <v>3</v>
      </c>
    </row>
    <row r="43" spans="1:13" x14ac:dyDescent="0.3">
      <c r="A43">
        <v>1042</v>
      </c>
      <c r="B43" s="3">
        <v>44939.44703920139</v>
      </c>
      <c r="C43" s="1">
        <v>44939.44703920139</v>
      </c>
      <c r="D43" t="s">
        <v>64</v>
      </c>
      <c r="E43" t="s">
        <v>28</v>
      </c>
      <c r="F43" t="s">
        <v>24</v>
      </c>
      <c r="G43" t="s">
        <v>42</v>
      </c>
      <c r="H43">
        <v>1</v>
      </c>
      <c r="I43">
        <v>948</v>
      </c>
      <c r="J43">
        <v>948</v>
      </c>
      <c r="K43" t="str">
        <f>TEXT(Table1[[#This Row],[Date]],"dddd")</f>
        <v>Friday</v>
      </c>
      <c r="L43" t="str">
        <f>TEXT(Table1[[#This Row],[Date]],"mmm-yyyy")</f>
        <v>Jan-2023</v>
      </c>
      <c r="M43">
        <f>HOUR(Table1[[#This Row],[Time]])</f>
        <v>10</v>
      </c>
    </row>
    <row r="44" spans="1:13" x14ac:dyDescent="0.3">
      <c r="A44">
        <v>1043</v>
      </c>
      <c r="B44" s="3">
        <v>44939.750625520835</v>
      </c>
      <c r="C44" s="1">
        <v>44939.750625520835</v>
      </c>
      <c r="D44" t="s">
        <v>65</v>
      </c>
      <c r="E44" t="s">
        <v>17</v>
      </c>
      <c r="F44" t="s">
        <v>11</v>
      </c>
      <c r="G44" t="s">
        <v>25</v>
      </c>
      <c r="H44">
        <v>4</v>
      </c>
      <c r="I44">
        <v>606</v>
      </c>
      <c r="J44">
        <v>2424</v>
      </c>
      <c r="K44" t="str">
        <f>TEXT(Table1[[#This Row],[Date]],"dddd")</f>
        <v>Friday</v>
      </c>
      <c r="L44" t="str">
        <f>TEXT(Table1[[#This Row],[Date]],"mmm-yyyy")</f>
        <v>Jan-2023</v>
      </c>
      <c r="M44">
        <f>HOUR(Table1[[#This Row],[Time]])</f>
        <v>18</v>
      </c>
    </row>
    <row r="45" spans="1:13" x14ac:dyDescent="0.3">
      <c r="A45">
        <v>1044</v>
      </c>
      <c r="B45" s="3">
        <v>44940.054211840281</v>
      </c>
      <c r="C45" s="1">
        <v>44940.054211840281</v>
      </c>
      <c r="D45" t="s">
        <v>66</v>
      </c>
      <c r="E45" t="s">
        <v>17</v>
      </c>
      <c r="F45" t="s">
        <v>39</v>
      </c>
      <c r="G45" t="s">
        <v>12</v>
      </c>
      <c r="H45">
        <v>2</v>
      </c>
      <c r="I45">
        <v>464</v>
      </c>
      <c r="J45">
        <v>928</v>
      </c>
      <c r="K45" t="str">
        <f>TEXT(Table1[[#This Row],[Date]],"dddd")</f>
        <v>Saturday</v>
      </c>
      <c r="L45" t="str">
        <f>TEXT(Table1[[#This Row],[Date]],"mmm-yyyy")</f>
        <v>Jan-2023</v>
      </c>
      <c r="M45">
        <f>HOUR(Table1[[#This Row],[Time]])</f>
        <v>1</v>
      </c>
    </row>
    <row r="46" spans="1:13" x14ac:dyDescent="0.3">
      <c r="A46">
        <v>1045</v>
      </c>
      <c r="B46" s="3">
        <v>44940.357798159719</v>
      </c>
      <c r="C46" s="1">
        <v>44940.357798159719</v>
      </c>
      <c r="D46" t="s">
        <v>67</v>
      </c>
      <c r="E46" t="s">
        <v>17</v>
      </c>
      <c r="F46" t="s">
        <v>15</v>
      </c>
      <c r="G46" t="s">
        <v>12</v>
      </c>
      <c r="H46">
        <v>2</v>
      </c>
      <c r="I46">
        <v>581</v>
      </c>
      <c r="J46">
        <v>1162</v>
      </c>
      <c r="K46" t="str">
        <f>TEXT(Table1[[#This Row],[Date]],"dddd")</f>
        <v>Saturday</v>
      </c>
      <c r="L46" t="str">
        <f>TEXT(Table1[[#This Row],[Date]],"mmm-yyyy")</f>
        <v>Jan-2023</v>
      </c>
      <c r="M46">
        <f>HOUR(Table1[[#This Row],[Time]])</f>
        <v>8</v>
      </c>
    </row>
    <row r="47" spans="1:13" x14ac:dyDescent="0.3">
      <c r="A47">
        <v>1046</v>
      </c>
      <c r="B47" s="3">
        <v>44940.661384490741</v>
      </c>
      <c r="C47" s="1">
        <v>44940.661384490741</v>
      </c>
      <c r="D47" t="s">
        <v>68</v>
      </c>
      <c r="E47" t="s">
        <v>10</v>
      </c>
      <c r="F47" t="s">
        <v>24</v>
      </c>
      <c r="G47" t="s">
        <v>19</v>
      </c>
      <c r="H47">
        <v>1</v>
      </c>
      <c r="I47">
        <v>300</v>
      </c>
      <c r="J47">
        <v>300</v>
      </c>
      <c r="K47" t="str">
        <f>TEXT(Table1[[#This Row],[Date]],"dddd")</f>
        <v>Saturday</v>
      </c>
      <c r="L47" t="str">
        <f>TEXT(Table1[[#This Row],[Date]],"mmm-yyyy")</f>
        <v>Jan-2023</v>
      </c>
      <c r="M47">
        <f>HOUR(Table1[[#This Row],[Time]])</f>
        <v>15</v>
      </c>
    </row>
    <row r="48" spans="1:13" x14ac:dyDescent="0.3">
      <c r="A48">
        <v>1047</v>
      </c>
      <c r="B48" s="3">
        <v>44940.964970810186</v>
      </c>
      <c r="C48" s="1">
        <v>44940.964970810186</v>
      </c>
      <c r="D48" t="s">
        <v>69</v>
      </c>
      <c r="E48" t="s">
        <v>28</v>
      </c>
      <c r="F48" t="s">
        <v>11</v>
      </c>
      <c r="G48" t="s">
        <v>19</v>
      </c>
      <c r="H48">
        <v>2</v>
      </c>
      <c r="I48">
        <v>253</v>
      </c>
      <c r="J48">
        <v>506</v>
      </c>
      <c r="K48" t="str">
        <f>TEXT(Table1[[#This Row],[Date]],"dddd")</f>
        <v>Saturday</v>
      </c>
      <c r="L48" t="str">
        <f>TEXT(Table1[[#This Row],[Date]],"mmm-yyyy")</f>
        <v>Jan-2023</v>
      </c>
      <c r="M48">
        <f>HOUR(Table1[[#This Row],[Time]])</f>
        <v>23</v>
      </c>
    </row>
    <row r="49" spans="1:13" x14ac:dyDescent="0.3">
      <c r="A49">
        <v>1048</v>
      </c>
      <c r="B49" s="3">
        <v>44941.268557129632</v>
      </c>
      <c r="C49" s="1">
        <v>44941.268557129632</v>
      </c>
      <c r="D49" t="s">
        <v>70</v>
      </c>
      <c r="E49" t="s">
        <v>17</v>
      </c>
      <c r="F49" t="s">
        <v>24</v>
      </c>
      <c r="G49" t="s">
        <v>19</v>
      </c>
      <c r="H49">
        <v>5</v>
      </c>
      <c r="I49">
        <v>549</v>
      </c>
      <c r="J49">
        <v>2745</v>
      </c>
      <c r="K49" t="str">
        <f>TEXT(Table1[[#This Row],[Date]],"dddd")</f>
        <v>Sunday</v>
      </c>
      <c r="L49" t="str">
        <f>TEXT(Table1[[#This Row],[Date]],"mmm-yyyy")</f>
        <v>Jan-2023</v>
      </c>
      <c r="M49">
        <f>HOUR(Table1[[#This Row],[Time]])</f>
        <v>6</v>
      </c>
    </row>
    <row r="50" spans="1:13" x14ac:dyDescent="0.3">
      <c r="A50">
        <v>1049</v>
      </c>
      <c r="B50" s="3">
        <v>44941.572143449077</v>
      </c>
      <c r="C50" s="1">
        <v>44941.572143449077</v>
      </c>
      <c r="D50" t="s">
        <v>71</v>
      </c>
      <c r="E50" t="s">
        <v>28</v>
      </c>
      <c r="F50" t="s">
        <v>11</v>
      </c>
      <c r="G50" t="s">
        <v>42</v>
      </c>
      <c r="H50">
        <v>2</v>
      </c>
      <c r="I50">
        <v>600</v>
      </c>
      <c r="J50">
        <v>1200</v>
      </c>
      <c r="K50" t="str">
        <f>TEXT(Table1[[#This Row],[Date]],"dddd")</f>
        <v>Sunday</v>
      </c>
      <c r="L50" t="str">
        <f>TEXT(Table1[[#This Row],[Date]],"mmm-yyyy")</f>
        <v>Jan-2023</v>
      </c>
      <c r="M50">
        <f>HOUR(Table1[[#This Row],[Time]])</f>
        <v>13</v>
      </c>
    </row>
    <row r="51" spans="1:13" x14ac:dyDescent="0.3">
      <c r="A51">
        <v>1050</v>
      </c>
      <c r="B51" s="3">
        <v>44941.875729780091</v>
      </c>
      <c r="C51" s="1">
        <v>44941.875729780091</v>
      </c>
      <c r="D51" t="s">
        <v>72</v>
      </c>
      <c r="E51" t="s">
        <v>28</v>
      </c>
      <c r="F51" t="s">
        <v>24</v>
      </c>
      <c r="G51" t="s">
        <v>35</v>
      </c>
      <c r="H51">
        <v>4</v>
      </c>
      <c r="I51">
        <v>172</v>
      </c>
      <c r="J51">
        <v>688</v>
      </c>
      <c r="K51" t="str">
        <f>TEXT(Table1[[#This Row],[Date]],"dddd")</f>
        <v>Sunday</v>
      </c>
      <c r="L51" t="str">
        <f>TEXT(Table1[[#This Row],[Date]],"mmm-yyyy")</f>
        <v>Jan-2023</v>
      </c>
      <c r="M51">
        <f>HOUR(Table1[[#This Row],[Time]])</f>
        <v>21</v>
      </c>
    </row>
    <row r="52" spans="1:13" x14ac:dyDescent="0.3">
      <c r="A52">
        <v>1051</v>
      </c>
      <c r="B52" s="3">
        <v>44942.179316099537</v>
      </c>
      <c r="C52" s="1">
        <v>44942.179316099537</v>
      </c>
      <c r="D52" t="s">
        <v>73</v>
      </c>
      <c r="E52" t="s">
        <v>28</v>
      </c>
      <c r="F52" t="s">
        <v>18</v>
      </c>
      <c r="G52" t="s">
        <v>35</v>
      </c>
      <c r="H52">
        <v>4</v>
      </c>
      <c r="I52">
        <v>812</v>
      </c>
      <c r="J52">
        <v>3248</v>
      </c>
      <c r="K52" t="str">
        <f>TEXT(Table1[[#This Row],[Date]],"dddd")</f>
        <v>Monday</v>
      </c>
      <c r="L52" t="str">
        <f>TEXT(Table1[[#This Row],[Date]],"mmm-yyyy")</f>
        <v>Jan-2023</v>
      </c>
      <c r="M52">
        <f>HOUR(Table1[[#This Row],[Time]])</f>
        <v>4</v>
      </c>
    </row>
    <row r="53" spans="1:13" x14ac:dyDescent="0.3">
      <c r="A53">
        <v>1052</v>
      </c>
      <c r="B53" s="3">
        <v>44942.482902418982</v>
      </c>
      <c r="C53" s="1">
        <v>44942.482902418982</v>
      </c>
      <c r="D53" t="s">
        <v>74</v>
      </c>
      <c r="E53" t="s">
        <v>14</v>
      </c>
      <c r="F53" t="s">
        <v>39</v>
      </c>
      <c r="G53" t="s">
        <v>29</v>
      </c>
      <c r="H53">
        <v>4</v>
      </c>
      <c r="I53">
        <v>395</v>
      </c>
      <c r="J53">
        <v>1580</v>
      </c>
      <c r="K53" t="str">
        <f>TEXT(Table1[[#This Row],[Date]],"dddd")</f>
        <v>Monday</v>
      </c>
      <c r="L53" t="str">
        <f>TEXT(Table1[[#This Row],[Date]],"mmm-yyyy")</f>
        <v>Jan-2023</v>
      </c>
      <c r="M53">
        <f>HOUR(Table1[[#This Row],[Time]])</f>
        <v>11</v>
      </c>
    </row>
    <row r="54" spans="1:13" x14ac:dyDescent="0.3">
      <c r="A54">
        <v>1053</v>
      </c>
      <c r="B54" s="3">
        <v>44942.786488738428</v>
      </c>
      <c r="C54" s="1">
        <v>44942.786488738428</v>
      </c>
      <c r="D54" t="s">
        <v>75</v>
      </c>
      <c r="E54" t="s">
        <v>17</v>
      </c>
      <c r="F54" t="s">
        <v>15</v>
      </c>
      <c r="G54" t="s">
        <v>22</v>
      </c>
      <c r="H54">
        <v>4</v>
      </c>
      <c r="I54">
        <v>116</v>
      </c>
      <c r="J54">
        <v>464</v>
      </c>
      <c r="K54" t="str">
        <f>TEXT(Table1[[#This Row],[Date]],"dddd")</f>
        <v>Monday</v>
      </c>
      <c r="L54" t="str">
        <f>TEXT(Table1[[#This Row],[Date]],"mmm-yyyy")</f>
        <v>Jan-2023</v>
      </c>
      <c r="M54">
        <f>HOUR(Table1[[#This Row],[Time]])</f>
        <v>18</v>
      </c>
    </row>
    <row r="55" spans="1:13" x14ac:dyDescent="0.3">
      <c r="A55">
        <v>1054</v>
      </c>
      <c r="B55" s="3">
        <v>44943.090075057873</v>
      </c>
      <c r="C55" s="1">
        <v>44943.090075057873</v>
      </c>
      <c r="D55" t="s">
        <v>76</v>
      </c>
      <c r="E55" t="s">
        <v>10</v>
      </c>
      <c r="F55" t="s">
        <v>39</v>
      </c>
      <c r="G55" t="s">
        <v>29</v>
      </c>
      <c r="H55">
        <v>5</v>
      </c>
      <c r="I55">
        <v>740</v>
      </c>
      <c r="J55">
        <v>3700</v>
      </c>
      <c r="K55" t="str">
        <f>TEXT(Table1[[#This Row],[Date]],"dddd")</f>
        <v>Tuesday</v>
      </c>
      <c r="L55" t="str">
        <f>TEXT(Table1[[#This Row],[Date]],"mmm-yyyy")</f>
        <v>Jan-2023</v>
      </c>
      <c r="M55">
        <f>HOUR(Table1[[#This Row],[Time]])</f>
        <v>2</v>
      </c>
    </row>
    <row r="56" spans="1:13" x14ac:dyDescent="0.3">
      <c r="A56">
        <v>1055</v>
      </c>
      <c r="B56" s="3">
        <v>44943.393661388887</v>
      </c>
      <c r="C56" s="1">
        <v>44943.393661388887</v>
      </c>
      <c r="D56" t="s">
        <v>67</v>
      </c>
      <c r="E56" t="s">
        <v>10</v>
      </c>
      <c r="F56" t="s">
        <v>39</v>
      </c>
      <c r="G56" t="s">
        <v>33</v>
      </c>
      <c r="H56">
        <v>3</v>
      </c>
      <c r="I56">
        <v>316</v>
      </c>
      <c r="J56">
        <v>948</v>
      </c>
      <c r="K56" t="str">
        <f>TEXT(Table1[[#This Row],[Date]],"dddd")</f>
        <v>Tuesday</v>
      </c>
      <c r="L56" t="str">
        <f>TEXT(Table1[[#This Row],[Date]],"mmm-yyyy")</f>
        <v>Jan-2023</v>
      </c>
      <c r="M56">
        <f>HOUR(Table1[[#This Row],[Time]])</f>
        <v>9</v>
      </c>
    </row>
    <row r="57" spans="1:13" x14ac:dyDescent="0.3">
      <c r="A57">
        <v>1056</v>
      </c>
      <c r="B57" s="3">
        <v>44943.697247708333</v>
      </c>
      <c r="C57" s="1">
        <v>44943.697247708333</v>
      </c>
      <c r="D57" t="s">
        <v>38</v>
      </c>
      <c r="E57" t="s">
        <v>10</v>
      </c>
      <c r="F57" t="s">
        <v>15</v>
      </c>
      <c r="G57" t="s">
        <v>25</v>
      </c>
      <c r="H57">
        <v>1</v>
      </c>
      <c r="I57">
        <v>160</v>
      </c>
      <c r="J57">
        <v>160</v>
      </c>
      <c r="K57" t="str">
        <f>TEXT(Table1[[#This Row],[Date]],"dddd")</f>
        <v>Tuesday</v>
      </c>
      <c r="L57" t="str">
        <f>TEXT(Table1[[#This Row],[Date]],"mmm-yyyy")</f>
        <v>Jan-2023</v>
      </c>
      <c r="M57">
        <f>HOUR(Table1[[#This Row],[Time]])</f>
        <v>16</v>
      </c>
    </row>
    <row r="58" spans="1:13" x14ac:dyDescent="0.3">
      <c r="A58">
        <v>1057</v>
      </c>
      <c r="B58" s="3">
        <v>44944.000834027778</v>
      </c>
      <c r="C58" s="1">
        <v>44944.000834027778</v>
      </c>
      <c r="D58" t="s">
        <v>77</v>
      </c>
      <c r="E58" t="s">
        <v>10</v>
      </c>
      <c r="F58" t="s">
        <v>39</v>
      </c>
      <c r="G58" t="s">
        <v>22</v>
      </c>
      <c r="H58">
        <v>4</v>
      </c>
      <c r="I58">
        <v>715</v>
      </c>
      <c r="J58">
        <v>2860</v>
      </c>
      <c r="K58" t="str">
        <f>TEXT(Table1[[#This Row],[Date]],"dddd")</f>
        <v>Wednesday</v>
      </c>
      <c r="L58" t="str">
        <f>TEXT(Table1[[#This Row],[Date]],"mmm-yyyy")</f>
        <v>Jan-2023</v>
      </c>
      <c r="M58">
        <f>HOUR(Table1[[#This Row],[Time]])</f>
        <v>0</v>
      </c>
    </row>
    <row r="59" spans="1:13" x14ac:dyDescent="0.3">
      <c r="A59">
        <v>1058</v>
      </c>
      <c r="B59" s="3">
        <v>44944.304420347224</v>
      </c>
      <c r="C59" s="1">
        <v>44944.304420347224</v>
      </c>
      <c r="D59" t="s">
        <v>57</v>
      </c>
      <c r="E59" t="s">
        <v>17</v>
      </c>
      <c r="F59" t="s">
        <v>18</v>
      </c>
      <c r="G59" t="s">
        <v>33</v>
      </c>
      <c r="H59">
        <v>2</v>
      </c>
      <c r="I59">
        <v>141</v>
      </c>
      <c r="J59">
        <v>282</v>
      </c>
      <c r="K59" t="str">
        <f>TEXT(Table1[[#This Row],[Date]],"dddd")</f>
        <v>Wednesday</v>
      </c>
      <c r="L59" t="str">
        <f>TEXT(Table1[[#This Row],[Date]],"mmm-yyyy")</f>
        <v>Jan-2023</v>
      </c>
      <c r="M59">
        <f>HOUR(Table1[[#This Row],[Time]])</f>
        <v>7</v>
      </c>
    </row>
    <row r="60" spans="1:13" x14ac:dyDescent="0.3">
      <c r="A60">
        <v>1059</v>
      </c>
      <c r="B60" s="3">
        <v>44944.608006666669</v>
      </c>
      <c r="C60" s="1">
        <v>44944.608006666669</v>
      </c>
      <c r="D60" t="s">
        <v>49</v>
      </c>
      <c r="E60" t="s">
        <v>10</v>
      </c>
      <c r="F60" t="s">
        <v>11</v>
      </c>
      <c r="G60" t="s">
        <v>12</v>
      </c>
      <c r="H60">
        <v>4</v>
      </c>
      <c r="I60">
        <v>124</v>
      </c>
      <c r="J60">
        <v>496</v>
      </c>
      <c r="K60" t="str">
        <f>TEXT(Table1[[#This Row],[Date]],"dddd")</f>
        <v>Wednesday</v>
      </c>
      <c r="L60" t="str">
        <f>TEXT(Table1[[#This Row],[Date]],"mmm-yyyy")</f>
        <v>Jan-2023</v>
      </c>
      <c r="M60">
        <f>HOUR(Table1[[#This Row],[Time]])</f>
        <v>14</v>
      </c>
    </row>
    <row r="61" spans="1:13" x14ac:dyDescent="0.3">
      <c r="A61">
        <v>1060</v>
      </c>
      <c r="B61" s="3">
        <v>44944.911592997683</v>
      </c>
      <c r="C61" s="1">
        <v>44944.911592997683</v>
      </c>
      <c r="D61" t="s">
        <v>78</v>
      </c>
      <c r="E61" t="s">
        <v>28</v>
      </c>
      <c r="F61" t="s">
        <v>15</v>
      </c>
      <c r="G61" t="s">
        <v>56</v>
      </c>
      <c r="H61">
        <v>2</v>
      </c>
      <c r="I61">
        <v>138</v>
      </c>
      <c r="J61">
        <v>276</v>
      </c>
      <c r="K61" t="str">
        <f>TEXT(Table1[[#This Row],[Date]],"dddd")</f>
        <v>Wednesday</v>
      </c>
      <c r="L61" t="str">
        <f>TEXT(Table1[[#This Row],[Date]],"mmm-yyyy")</f>
        <v>Jan-2023</v>
      </c>
      <c r="M61">
        <f>HOUR(Table1[[#This Row],[Time]])</f>
        <v>21</v>
      </c>
    </row>
    <row r="62" spans="1:13" x14ac:dyDescent="0.3">
      <c r="A62">
        <v>1061</v>
      </c>
      <c r="B62" s="3">
        <v>44945.215179317129</v>
      </c>
      <c r="C62" s="1">
        <v>44945.215179317129</v>
      </c>
      <c r="D62" t="s">
        <v>79</v>
      </c>
      <c r="E62" t="s">
        <v>14</v>
      </c>
      <c r="F62" t="s">
        <v>11</v>
      </c>
      <c r="G62" t="s">
        <v>33</v>
      </c>
      <c r="H62">
        <v>2</v>
      </c>
      <c r="I62">
        <v>902</v>
      </c>
      <c r="J62">
        <v>1804</v>
      </c>
      <c r="K62" t="str">
        <f>TEXT(Table1[[#This Row],[Date]],"dddd")</f>
        <v>Thursday</v>
      </c>
      <c r="L62" t="str">
        <f>TEXT(Table1[[#This Row],[Date]],"mmm-yyyy")</f>
        <v>Jan-2023</v>
      </c>
      <c r="M62">
        <f>HOUR(Table1[[#This Row],[Time]])</f>
        <v>5</v>
      </c>
    </row>
    <row r="63" spans="1:13" x14ac:dyDescent="0.3">
      <c r="A63">
        <v>1062</v>
      </c>
      <c r="B63" s="3">
        <v>44945.518765636574</v>
      </c>
      <c r="C63" s="1">
        <v>44945.518765636574</v>
      </c>
      <c r="D63" t="s">
        <v>80</v>
      </c>
      <c r="E63" t="s">
        <v>10</v>
      </c>
      <c r="F63" t="s">
        <v>24</v>
      </c>
      <c r="G63" t="s">
        <v>56</v>
      </c>
      <c r="H63">
        <v>4</v>
      </c>
      <c r="I63">
        <v>230</v>
      </c>
      <c r="J63">
        <v>920</v>
      </c>
      <c r="K63" t="str">
        <f>TEXT(Table1[[#This Row],[Date]],"dddd")</f>
        <v>Thursday</v>
      </c>
      <c r="L63" t="str">
        <f>TEXT(Table1[[#This Row],[Date]],"mmm-yyyy")</f>
        <v>Jan-2023</v>
      </c>
      <c r="M63">
        <f>HOUR(Table1[[#This Row],[Time]])</f>
        <v>12</v>
      </c>
    </row>
    <row r="64" spans="1:13" x14ac:dyDescent="0.3">
      <c r="A64">
        <v>1063</v>
      </c>
      <c r="B64" s="3">
        <v>44945.82235195602</v>
      </c>
      <c r="C64" s="1">
        <v>44945.82235195602</v>
      </c>
      <c r="D64" t="s">
        <v>81</v>
      </c>
      <c r="E64" t="s">
        <v>28</v>
      </c>
      <c r="F64" t="s">
        <v>18</v>
      </c>
      <c r="G64" t="s">
        <v>12</v>
      </c>
      <c r="H64">
        <v>5</v>
      </c>
      <c r="I64">
        <v>597</v>
      </c>
      <c r="J64">
        <v>2985</v>
      </c>
      <c r="K64" t="str">
        <f>TEXT(Table1[[#This Row],[Date]],"dddd")</f>
        <v>Thursday</v>
      </c>
      <c r="L64" t="str">
        <f>TEXT(Table1[[#This Row],[Date]],"mmm-yyyy")</f>
        <v>Jan-2023</v>
      </c>
      <c r="M64">
        <f>HOUR(Table1[[#This Row],[Time]])</f>
        <v>19</v>
      </c>
    </row>
    <row r="65" spans="1:13" x14ac:dyDescent="0.3">
      <c r="A65">
        <v>1064</v>
      </c>
      <c r="B65" s="3">
        <v>44946.125938287034</v>
      </c>
      <c r="C65" s="1">
        <v>44946.125938287034</v>
      </c>
      <c r="D65" t="s">
        <v>82</v>
      </c>
      <c r="E65" t="s">
        <v>10</v>
      </c>
      <c r="F65" t="s">
        <v>11</v>
      </c>
      <c r="G65" t="s">
        <v>40</v>
      </c>
      <c r="H65">
        <v>2</v>
      </c>
      <c r="I65">
        <v>328</v>
      </c>
      <c r="J65">
        <v>656</v>
      </c>
      <c r="K65" t="str">
        <f>TEXT(Table1[[#This Row],[Date]],"dddd")</f>
        <v>Friday</v>
      </c>
      <c r="L65" t="str">
        <f>TEXT(Table1[[#This Row],[Date]],"mmm-yyyy")</f>
        <v>Jan-2023</v>
      </c>
      <c r="M65">
        <f>HOUR(Table1[[#This Row],[Time]])</f>
        <v>3</v>
      </c>
    </row>
    <row r="66" spans="1:13" x14ac:dyDescent="0.3">
      <c r="A66">
        <v>1065</v>
      </c>
      <c r="B66" s="3">
        <v>44946.429524606479</v>
      </c>
      <c r="C66" s="1">
        <v>44946.429524606479</v>
      </c>
      <c r="D66" t="s">
        <v>83</v>
      </c>
      <c r="E66" t="s">
        <v>17</v>
      </c>
      <c r="F66" t="s">
        <v>11</v>
      </c>
      <c r="G66" t="s">
        <v>25</v>
      </c>
      <c r="H66">
        <v>2</v>
      </c>
      <c r="I66">
        <v>207</v>
      </c>
      <c r="J66">
        <v>414</v>
      </c>
      <c r="K66" t="str">
        <f>TEXT(Table1[[#This Row],[Date]],"dddd")</f>
        <v>Friday</v>
      </c>
      <c r="L66" t="str">
        <f>TEXT(Table1[[#This Row],[Date]],"mmm-yyyy")</f>
        <v>Jan-2023</v>
      </c>
      <c r="M66">
        <f>HOUR(Table1[[#This Row],[Time]])</f>
        <v>10</v>
      </c>
    </row>
    <row r="67" spans="1:13" x14ac:dyDescent="0.3">
      <c r="A67">
        <v>1066</v>
      </c>
      <c r="B67" s="3">
        <v>44946.733110925925</v>
      </c>
      <c r="C67" s="1">
        <v>44946.733110925925</v>
      </c>
      <c r="D67" t="s">
        <v>84</v>
      </c>
      <c r="E67" t="s">
        <v>28</v>
      </c>
      <c r="F67" t="s">
        <v>15</v>
      </c>
      <c r="G67" t="s">
        <v>56</v>
      </c>
      <c r="H67">
        <v>4</v>
      </c>
      <c r="I67">
        <v>271</v>
      </c>
      <c r="J67">
        <v>1084</v>
      </c>
      <c r="K67" t="str">
        <f>TEXT(Table1[[#This Row],[Date]],"dddd")</f>
        <v>Friday</v>
      </c>
      <c r="L67" t="str">
        <f>TEXT(Table1[[#This Row],[Date]],"mmm-yyyy")</f>
        <v>Jan-2023</v>
      </c>
      <c r="M67">
        <f>HOUR(Table1[[#This Row],[Time]])</f>
        <v>17</v>
      </c>
    </row>
    <row r="68" spans="1:13" x14ac:dyDescent="0.3">
      <c r="A68">
        <v>1067</v>
      </c>
      <c r="B68" s="3">
        <v>44947.03669724537</v>
      </c>
      <c r="C68" s="1">
        <v>44947.03669724537</v>
      </c>
      <c r="D68" t="s">
        <v>85</v>
      </c>
      <c r="E68" t="s">
        <v>17</v>
      </c>
      <c r="F68" t="s">
        <v>24</v>
      </c>
      <c r="G68" t="s">
        <v>12</v>
      </c>
      <c r="H68">
        <v>2</v>
      </c>
      <c r="I68">
        <v>534</v>
      </c>
      <c r="J68">
        <v>1068</v>
      </c>
      <c r="K68" t="str">
        <f>TEXT(Table1[[#This Row],[Date]],"dddd")</f>
        <v>Saturday</v>
      </c>
      <c r="L68" t="str">
        <f>TEXT(Table1[[#This Row],[Date]],"mmm-yyyy")</f>
        <v>Jan-2023</v>
      </c>
      <c r="M68">
        <f>HOUR(Table1[[#This Row],[Time]])</f>
        <v>0</v>
      </c>
    </row>
    <row r="69" spans="1:13" x14ac:dyDescent="0.3">
      <c r="A69">
        <v>1068</v>
      </c>
      <c r="B69" s="3">
        <v>44947.340283564816</v>
      </c>
      <c r="C69" s="1">
        <v>44947.340283564816</v>
      </c>
      <c r="D69" t="s">
        <v>86</v>
      </c>
      <c r="E69" t="s">
        <v>10</v>
      </c>
      <c r="F69" t="s">
        <v>15</v>
      </c>
      <c r="G69" t="s">
        <v>33</v>
      </c>
      <c r="H69">
        <v>2</v>
      </c>
      <c r="I69">
        <v>577</v>
      </c>
      <c r="J69">
        <v>1154</v>
      </c>
      <c r="K69" t="str">
        <f>TEXT(Table1[[#This Row],[Date]],"dddd")</f>
        <v>Saturday</v>
      </c>
      <c r="L69" t="str">
        <f>TEXT(Table1[[#This Row],[Date]],"mmm-yyyy")</f>
        <v>Jan-2023</v>
      </c>
      <c r="M69">
        <f>HOUR(Table1[[#This Row],[Time]])</f>
        <v>8</v>
      </c>
    </row>
    <row r="70" spans="1:13" x14ac:dyDescent="0.3">
      <c r="A70">
        <v>1069</v>
      </c>
      <c r="B70" s="3">
        <v>44947.64386989583</v>
      </c>
      <c r="C70" s="1">
        <v>44947.64386989583</v>
      </c>
      <c r="D70" t="s">
        <v>87</v>
      </c>
      <c r="E70" t="s">
        <v>28</v>
      </c>
      <c r="F70" t="s">
        <v>24</v>
      </c>
      <c r="G70" t="s">
        <v>56</v>
      </c>
      <c r="H70">
        <v>4</v>
      </c>
      <c r="I70">
        <v>201</v>
      </c>
      <c r="J70">
        <v>804</v>
      </c>
      <c r="K70" t="str">
        <f>TEXT(Table1[[#This Row],[Date]],"dddd")</f>
        <v>Saturday</v>
      </c>
      <c r="L70" t="str">
        <f>TEXT(Table1[[#This Row],[Date]],"mmm-yyyy")</f>
        <v>Jan-2023</v>
      </c>
      <c r="M70">
        <f>HOUR(Table1[[#This Row],[Time]])</f>
        <v>15</v>
      </c>
    </row>
    <row r="71" spans="1:13" x14ac:dyDescent="0.3">
      <c r="A71">
        <v>1070</v>
      </c>
      <c r="B71" s="3">
        <v>44947.947456215275</v>
      </c>
      <c r="C71" s="1">
        <v>44947.947456215275</v>
      </c>
      <c r="D71" t="s">
        <v>20</v>
      </c>
      <c r="E71" t="s">
        <v>28</v>
      </c>
      <c r="F71" t="s">
        <v>15</v>
      </c>
      <c r="G71" t="s">
        <v>22</v>
      </c>
      <c r="H71">
        <v>4</v>
      </c>
      <c r="I71">
        <v>965</v>
      </c>
      <c r="J71">
        <v>3860</v>
      </c>
      <c r="K71" t="str">
        <f>TEXT(Table1[[#This Row],[Date]],"dddd")</f>
        <v>Saturday</v>
      </c>
      <c r="L71" t="str">
        <f>TEXT(Table1[[#This Row],[Date]],"mmm-yyyy")</f>
        <v>Jan-2023</v>
      </c>
      <c r="M71">
        <f>HOUR(Table1[[#This Row],[Time]])</f>
        <v>22</v>
      </c>
    </row>
    <row r="72" spans="1:13" x14ac:dyDescent="0.3">
      <c r="A72">
        <v>1071</v>
      </c>
      <c r="B72" s="3">
        <v>44948.251042534721</v>
      </c>
      <c r="C72" s="1">
        <v>44948.251042534721</v>
      </c>
      <c r="D72" t="s">
        <v>80</v>
      </c>
      <c r="E72" t="s">
        <v>28</v>
      </c>
      <c r="F72" t="s">
        <v>11</v>
      </c>
      <c r="G72" t="s">
        <v>40</v>
      </c>
      <c r="H72">
        <v>1</v>
      </c>
      <c r="I72">
        <v>623</v>
      </c>
      <c r="J72">
        <v>623</v>
      </c>
      <c r="K72" t="str">
        <f>TEXT(Table1[[#This Row],[Date]],"dddd")</f>
        <v>Sunday</v>
      </c>
      <c r="L72" t="str">
        <f>TEXT(Table1[[#This Row],[Date]],"mmm-yyyy")</f>
        <v>Jan-2023</v>
      </c>
      <c r="M72">
        <f>HOUR(Table1[[#This Row],[Time]])</f>
        <v>6</v>
      </c>
    </row>
    <row r="73" spans="1:13" x14ac:dyDescent="0.3">
      <c r="A73">
        <v>1072</v>
      </c>
      <c r="B73" s="3">
        <v>44948.554628854166</v>
      </c>
      <c r="C73" s="1">
        <v>44948.554628854166</v>
      </c>
      <c r="D73" t="s">
        <v>88</v>
      </c>
      <c r="E73" t="s">
        <v>10</v>
      </c>
      <c r="F73" t="s">
        <v>11</v>
      </c>
      <c r="G73" t="s">
        <v>29</v>
      </c>
      <c r="H73">
        <v>5</v>
      </c>
      <c r="I73">
        <v>374</v>
      </c>
      <c r="J73">
        <v>1870</v>
      </c>
      <c r="K73" t="str">
        <f>TEXT(Table1[[#This Row],[Date]],"dddd")</f>
        <v>Sunday</v>
      </c>
      <c r="L73" t="str">
        <f>TEXT(Table1[[#This Row],[Date]],"mmm-yyyy")</f>
        <v>Jan-2023</v>
      </c>
      <c r="M73">
        <f>HOUR(Table1[[#This Row],[Time]])</f>
        <v>13</v>
      </c>
    </row>
    <row r="74" spans="1:13" x14ac:dyDescent="0.3">
      <c r="A74">
        <v>1073</v>
      </c>
      <c r="B74" s="3">
        <v>44948.858215173612</v>
      </c>
      <c r="C74" s="1">
        <v>44948.858215173612</v>
      </c>
      <c r="D74" t="s">
        <v>57</v>
      </c>
      <c r="E74" t="s">
        <v>14</v>
      </c>
      <c r="F74" t="s">
        <v>18</v>
      </c>
      <c r="G74" t="s">
        <v>22</v>
      </c>
      <c r="H74">
        <v>5</v>
      </c>
      <c r="I74">
        <v>712</v>
      </c>
      <c r="J74">
        <v>3560</v>
      </c>
      <c r="K74" t="str">
        <f>TEXT(Table1[[#This Row],[Date]],"dddd")</f>
        <v>Sunday</v>
      </c>
      <c r="L74" t="str">
        <f>TEXT(Table1[[#This Row],[Date]],"mmm-yyyy")</f>
        <v>Jan-2023</v>
      </c>
      <c r="M74">
        <f>HOUR(Table1[[#This Row],[Time]])</f>
        <v>20</v>
      </c>
    </row>
    <row r="75" spans="1:13" x14ac:dyDescent="0.3">
      <c r="A75">
        <v>1074</v>
      </c>
      <c r="B75" s="3">
        <v>44949.161801504626</v>
      </c>
      <c r="C75" s="1">
        <v>44949.161801504626</v>
      </c>
      <c r="D75" t="s">
        <v>89</v>
      </c>
      <c r="E75" t="s">
        <v>14</v>
      </c>
      <c r="F75" t="s">
        <v>11</v>
      </c>
      <c r="G75" t="s">
        <v>29</v>
      </c>
      <c r="H75">
        <v>2</v>
      </c>
      <c r="I75">
        <v>143</v>
      </c>
      <c r="J75">
        <v>286</v>
      </c>
      <c r="K75" t="str">
        <f>TEXT(Table1[[#This Row],[Date]],"dddd")</f>
        <v>Monday</v>
      </c>
      <c r="L75" t="str">
        <f>TEXT(Table1[[#This Row],[Date]],"mmm-yyyy")</f>
        <v>Jan-2023</v>
      </c>
      <c r="M75">
        <f>HOUR(Table1[[#This Row],[Time]])</f>
        <v>3</v>
      </c>
    </row>
    <row r="76" spans="1:13" x14ac:dyDescent="0.3">
      <c r="A76">
        <v>1075</v>
      </c>
      <c r="B76" s="3">
        <v>44949.465387824072</v>
      </c>
      <c r="C76" s="1">
        <v>44949.465387824072</v>
      </c>
      <c r="D76" t="s">
        <v>90</v>
      </c>
      <c r="E76" t="s">
        <v>17</v>
      </c>
      <c r="F76" t="s">
        <v>39</v>
      </c>
      <c r="G76" t="s">
        <v>12</v>
      </c>
      <c r="H76">
        <v>5</v>
      </c>
      <c r="I76">
        <v>916</v>
      </c>
      <c r="J76">
        <v>4580</v>
      </c>
      <c r="K76" t="str">
        <f>TEXT(Table1[[#This Row],[Date]],"dddd")</f>
        <v>Monday</v>
      </c>
      <c r="L76" t="str">
        <f>TEXT(Table1[[#This Row],[Date]],"mmm-yyyy")</f>
        <v>Jan-2023</v>
      </c>
      <c r="M76">
        <f>HOUR(Table1[[#This Row],[Time]])</f>
        <v>11</v>
      </c>
    </row>
    <row r="77" spans="1:13" x14ac:dyDescent="0.3">
      <c r="A77">
        <v>1076</v>
      </c>
      <c r="B77" s="3">
        <v>44949.768974143517</v>
      </c>
      <c r="C77" s="1">
        <v>44949.768974143517</v>
      </c>
      <c r="D77" t="s">
        <v>47</v>
      </c>
      <c r="E77" t="s">
        <v>14</v>
      </c>
      <c r="F77" t="s">
        <v>11</v>
      </c>
      <c r="G77" t="s">
        <v>19</v>
      </c>
      <c r="H77">
        <v>2</v>
      </c>
      <c r="I77">
        <v>116</v>
      </c>
      <c r="J77">
        <v>232</v>
      </c>
      <c r="K77" t="str">
        <f>TEXT(Table1[[#This Row],[Date]],"dddd")</f>
        <v>Monday</v>
      </c>
      <c r="L77" t="str">
        <f>TEXT(Table1[[#This Row],[Date]],"mmm-yyyy")</f>
        <v>Jan-2023</v>
      </c>
      <c r="M77">
        <f>HOUR(Table1[[#This Row],[Time]])</f>
        <v>18</v>
      </c>
    </row>
    <row r="78" spans="1:13" x14ac:dyDescent="0.3">
      <c r="A78">
        <v>1077</v>
      </c>
      <c r="B78" s="3">
        <v>44950.072560462962</v>
      </c>
      <c r="C78" s="1">
        <v>44950.072560462962</v>
      </c>
      <c r="D78" t="s">
        <v>91</v>
      </c>
      <c r="E78" t="s">
        <v>10</v>
      </c>
      <c r="F78" t="s">
        <v>39</v>
      </c>
      <c r="G78" t="s">
        <v>22</v>
      </c>
      <c r="H78">
        <v>1</v>
      </c>
      <c r="I78">
        <v>429</v>
      </c>
      <c r="J78">
        <v>429</v>
      </c>
      <c r="K78" t="str">
        <f>TEXT(Table1[[#This Row],[Date]],"dddd")</f>
        <v>Tuesday</v>
      </c>
      <c r="L78" t="str">
        <f>TEXT(Table1[[#This Row],[Date]],"mmm-yyyy")</f>
        <v>Jan-2023</v>
      </c>
      <c r="M78">
        <f>HOUR(Table1[[#This Row],[Time]])</f>
        <v>1</v>
      </c>
    </row>
    <row r="79" spans="1:13" x14ac:dyDescent="0.3">
      <c r="A79">
        <v>1078</v>
      </c>
      <c r="B79" s="3">
        <v>44950.376146793984</v>
      </c>
      <c r="C79" s="1">
        <v>44950.376146793984</v>
      </c>
      <c r="D79" t="s">
        <v>92</v>
      </c>
      <c r="E79" t="s">
        <v>28</v>
      </c>
      <c r="F79" t="s">
        <v>11</v>
      </c>
      <c r="G79" t="s">
        <v>22</v>
      </c>
      <c r="H79">
        <v>4</v>
      </c>
      <c r="I79">
        <v>668</v>
      </c>
      <c r="J79">
        <v>2672</v>
      </c>
      <c r="K79" t="str">
        <f>TEXT(Table1[[#This Row],[Date]],"dddd")</f>
        <v>Tuesday</v>
      </c>
      <c r="L79" t="str">
        <f>TEXT(Table1[[#This Row],[Date]],"mmm-yyyy")</f>
        <v>Jan-2023</v>
      </c>
      <c r="M79">
        <f>HOUR(Table1[[#This Row],[Time]])</f>
        <v>9</v>
      </c>
    </row>
    <row r="80" spans="1:13" x14ac:dyDescent="0.3">
      <c r="A80">
        <v>1079</v>
      </c>
      <c r="B80" s="3">
        <v>44950.679733113429</v>
      </c>
      <c r="C80" s="1">
        <v>44950.679733113429</v>
      </c>
      <c r="D80" t="s">
        <v>93</v>
      </c>
      <c r="E80" t="s">
        <v>28</v>
      </c>
      <c r="F80" t="s">
        <v>39</v>
      </c>
      <c r="G80" t="s">
        <v>12</v>
      </c>
      <c r="H80">
        <v>4</v>
      </c>
      <c r="I80">
        <v>922</v>
      </c>
      <c r="J80">
        <v>3688</v>
      </c>
      <c r="K80" t="str">
        <f>TEXT(Table1[[#This Row],[Date]],"dddd")</f>
        <v>Tuesday</v>
      </c>
      <c r="L80" t="str">
        <f>TEXT(Table1[[#This Row],[Date]],"mmm-yyyy")</f>
        <v>Jan-2023</v>
      </c>
      <c r="M80">
        <f>HOUR(Table1[[#This Row],[Time]])</f>
        <v>16</v>
      </c>
    </row>
    <row r="81" spans="1:13" x14ac:dyDescent="0.3">
      <c r="A81">
        <v>1080</v>
      </c>
      <c r="B81" s="3">
        <v>44950.983319432868</v>
      </c>
      <c r="C81" s="1">
        <v>44950.983319432868</v>
      </c>
      <c r="D81" t="s">
        <v>32</v>
      </c>
      <c r="E81" t="s">
        <v>10</v>
      </c>
      <c r="F81" t="s">
        <v>39</v>
      </c>
      <c r="G81" t="s">
        <v>35</v>
      </c>
      <c r="H81">
        <v>4</v>
      </c>
      <c r="I81">
        <v>596</v>
      </c>
      <c r="J81">
        <v>2384</v>
      </c>
      <c r="K81" t="str">
        <f>TEXT(Table1[[#This Row],[Date]],"dddd")</f>
        <v>Tuesday</v>
      </c>
      <c r="L81" t="str">
        <f>TEXT(Table1[[#This Row],[Date]],"mmm-yyyy")</f>
        <v>Jan-2023</v>
      </c>
      <c r="M81">
        <f>HOUR(Table1[[#This Row],[Time]])</f>
        <v>23</v>
      </c>
    </row>
    <row r="82" spans="1:13" x14ac:dyDescent="0.3">
      <c r="A82">
        <v>1081</v>
      </c>
      <c r="B82" s="3">
        <v>44951.286905752313</v>
      </c>
      <c r="C82" s="1">
        <v>44951.286905752313</v>
      </c>
      <c r="D82" t="s">
        <v>94</v>
      </c>
      <c r="E82" t="s">
        <v>28</v>
      </c>
      <c r="F82" t="s">
        <v>11</v>
      </c>
      <c r="G82" t="s">
        <v>12</v>
      </c>
      <c r="H82">
        <v>5</v>
      </c>
      <c r="I82">
        <v>914</v>
      </c>
      <c r="J82">
        <v>4570</v>
      </c>
      <c r="K82" t="str">
        <f>TEXT(Table1[[#This Row],[Date]],"dddd")</f>
        <v>Wednesday</v>
      </c>
      <c r="L82" t="str">
        <f>TEXT(Table1[[#This Row],[Date]],"mmm-yyyy")</f>
        <v>Jan-2023</v>
      </c>
      <c r="M82">
        <f>HOUR(Table1[[#This Row],[Time]])</f>
        <v>6</v>
      </c>
    </row>
    <row r="83" spans="1:13" x14ac:dyDescent="0.3">
      <c r="A83">
        <v>1082</v>
      </c>
      <c r="B83" s="3">
        <v>44951.590492071758</v>
      </c>
      <c r="C83" s="1">
        <v>44951.590492071758</v>
      </c>
      <c r="D83" t="s">
        <v>95</v>
      </c>
      <c r="E83" t="s">
        <v>14</v>
      </c>
      <c r="F83" t="s">
        <v>39</v>
      </c>
      <c r="G83" t="s">
        <v>25</v>
      </c>
      <c r="H83">
        <v>1</v>
      </c>
      <c r="I83">
        <v>111</v>
      </c>
      <c r="J83">
        <v>111</v>
      </c>
      <c r="K83" t="str">
        <f>TEXT(Table1[[#This Row],[Date]],"dddd")</f>
        <v>Wednesday</v>
      </c>
      <c r="L83" t="str">
        <f>TEXT(Table1[[#This Row],[Date]],"mmm-yyyy")</f>
        <v>Jan-2023</v>
      </c>
      <c r="M83">
        <f>HOUR(Table1[[#This Row],[Time]])</f>
        <v>14</v>
      </c>
    </row>
    <row r="84" spans="1:13" x14ac:dyDescent="0.3">
      <c r="A84">
        <v>1083</v>
      </c>
      <c r="B84" s="3">
        <v>44951.89407840278</v>
      </c>
      <c r="C84" s="1">
        <v>44951.89407840278</v>
      </c>
      <c r="D84" t="s">
        <v>96</v>
      </c>
      <c r="E84" t="s">
        <v>17</v>
      </c>
      <c r="F84" t="s">
        <v>18</v>
      </c>
      <c r="G84" t="s">
        <v>40</v>
      </c>
      <c r="H84">
        <v>5</v>
      </c>
      <c r="I84">
        <v>417</v>
      </c>
      <c r="J84">
        <v>2085</v>
      </c>
      <c r="K84" t="str">
        <f>TEXT(Table1[[#This Row],[Date]],"dddd")</f>
        <v>Wednesday</v>
      </c>
      <c r="L84" t="str">
        <f>TEXT(Table1[[#This Row],[Date]],"mmm-yyyy")</f>
        <v>Jan-2023</v>
      </c>
      <c r="M84">
        <f>HOUR(Table1[[#This Row],[Time]])</f>
        <v>21</v>
      </c>
    </row>
    <row r="85" spans="1:13" x14ac:dyDescent="0.3">
      <c r="A85">
        <v>1084</v>
      </c>
      <c r="B85" s="3">
        <v>44952.197664722225</v>
      </c>
      <c r="C85" s="1">
        <v>44952.197664722225</v>
      </c>
      <c r="D85" t="s">
        <v>97</v>
      </c>
      <c r="E85" t="s">
        <v>10</v>
      </c>
      <c r="F85" t="s">
        <v>24</v>
      </c>
      <c r="G85" t="s">
        <v>25</v>
      </c>
      <c r="H85">
        <v>5</v>
      </c>
      <c r="I85">
        <v>691</v>
      </c>
      <c r="J85">
        <v>3455</v>
      </c>
      <c r="K85" t="str">
        <f>TEXT(Table1[[#This Row],[Date]],"dddd")</f>
        <v>Thursday</v>
      </c>
      <c r="L85" t="str">
        <f>TEXT(Table1[[#This Row],[Date]],"mmm-yyyy")</f>
        <v>Jan-2023</v>
      </c>
      <c r="M85">
        <f>HOUR(Table1[[#This Row],[Time]])</f>
        <v>4</v>
      </c>
    </row>
    <row r="86" spans="1:13" x14ac:dyDescent="0.3">
      <c r="A86">
        <v>1085</v>
      </c>
      <c r="B86" s="3">
        <v>44952.501251041664</v>
      </c>
      <c r="C86" s="1">
        <v>44952.501251041664</v>
      </c>
      <c r="D86" t="s">
        <v>98</v>
      </c>
      <c r="E86" t="s">
        <v>28</v>
      </c>
      <c r="F86" t="s">
        <v>39</v>
      </c>
      <c r="G86" t="s">
        <v>42</v>
      </c>
      <c r="H86">
        <v>1</v>
      </c>
      <c r="I86">
        <v>315</v>
      </c>
      <c r="J86">
        <v>315</v>
      </c>
      <c r="K86" t="str">
        <f>TEXT(Table1[[#This Row],[Date]],"dddd")</f>
        <v>Thursday</v>
      </c>
      <c r="L86" t="str">
        <f>TEXT(Table1[[#This Row],[Date]],"mmm-yyyy")</f>
        <v>Jan-2023</v>
      </c>
      <c r="M86">
        <f>HOUR(Table1[[#This Row],[Time]])</f>
        <v>12</v>
      </c>
    </row>
    <row r="87" spans="1:13" x14ac:dyDescent="0.3">
      <c r="A87">
        <v>1086</v>
      </c>
      <c r="B87" s="3">
        <v>44952.804837361109</v>
      </c>
      <c r="C87" s="1">
        <v>44952.804837361109</v>
      </c>
      <c r="D87" t="s">
        <v>99</v>
      </c>
      <c r="E87" t="s">
        <v>10</v>
      </c>
      <c r="F87" t="s">
        <v>39</v>
      </c>
      <c r="G87" t="s">
        <v>35</v>
      </c>
      <c r="H87">
        <v>1</v>
      </c>
      <c r="I87">
        <v>438</v>
      </c>
      <c r="J87">
        <v>438</v>
      </c>
      <c r="K87" t="str">
        <f>TEXT(Table1[[#This Row],[Date]],"dddd")</f>
        <v>Thursday</v>
      </c>
      <c r="L87" t="str">
        <f>TEXT(Table1[[#This Row],[Date]],"mmm-yyyy")</f>
        <v>Jan-2023</v>
      </c>
      <c r="M87">
        <f>HOUR(Table1[[#This Row],[Time]])</f>
        <v>19</v>
      </c>
    </row>
    <row r="88" spans="1:13" x14ac:dyDescent="0.3">
      <c r="A88">
        <v>1087</v>
      </c>
      <c r="B88" s="3">
        <v>44953.108423692131</v>
      </c>
      <c r="C88" s="1">
        <v>44953.108423692131</v>
      </c>
      <c r="D88" t="s">
        <v>94</v>
      </c>
      <c r="E88" t="s">
        <v>14</v>
      </c>
      <c r="F88" t="s">
        <v>18</v>
      </c>
      <c r="G88" t="s">
        <v>35</v>
      </c>
      <c r="H88">
        <v>1</v>
      </c>
      <c r="I88">
        <v>875</v>
      </c>
      <c r="J88">
        <v>875</v>
      </c>
      <c r="K88" t="str">
        <f>TEXT(Table1[[#This Row],[Date]],"dddd")</f>
        <v>Friday</v>
      </c>
      <c r="L88" t="str">
        <f>TEXT(Table1[[#This Row],[Date]],"mmm-yyyy")</f>
        <v>Jan-2023</v>
      </c>
      <c r="M88">
        <f>HOUR(Table1[[#This Row],[Time]])</f>
        <v>2</v>
      </c>
    </row>
    <row r="89" spans="1:13" x14ac:dyDescent="0.3">
      <c r="A89">
        <v>1088</v>
      </c>
      <c r="B89" s="3">
        <v>44953.412010011576</v>
      </c>
      <c r="C89" s="1">
        <v>44953.412010011576</v>
      </c>
      <c r="D89" t="s">
        <v>98</v>
      </c>
      <c r="E89" t="s">
        <v>28</v>
      </c>
      <c r="F89" t="s">
        <v>18</v>
      </c>
      <c r="G89" t="s">
        <v>35</v>
      </c>
      <c r="H89">
        <v>1</v>
      </c>
      <c r="I89">
        <v>760</v>
      </c>
      <c r="J89">
        <v>760</v>
      </c>
      <c r="K89" t="str">
        <f>TEXT(Table1[[#This Row],[Date]],"dddd")</f>
        <v>Friday</v>
      </c>
      <c r="L89" t="str">
        <f>TEXT(Table1[[#This Row],[Date]],"mmm-yyyy")</f>
        <v>Jan-2023</v>
      </c>
      <c r="M89">
        <f>HOUR(Table1[[#This Row],[Time]])</f>
        <v>9</v>
      </c>
    </row>
    <row r="90" spans="1:13" x14ac:dyDescent="0.3">
      <c r="A90">
        <v>1089</v>
      </c>
      <c r="B90" s="3">
        <v>44953.715596331022</v>
      </c>
      <c r="C90" s="1">
        <v>44953.715596331022</v>
      </c>
      <c r="D90" t="s">
        <v>100</v>
      </c>
      <c r="E90" t="s">
        <v>28</v>
      </c>
      <c r="F90" t="s">
        <v>15</v>
      </c>
      <c r="G90" t="s">
        <v>40</v>
      </c>
      <c r="H90">
        <v>4</v>
      </c>
      <c r="I90">
        <v>180</v>
      </c>
      <c r="J90">
        <v>720</v>
      </c>
      <c r="K90" t="str">
        <f>TEXT(Table1[[#This Row],[Date]],"dddd")</f>
        <v>Friday</v>
      </c>
      <c r="L90" t="str">
        <f>TEXT(Table1[[#This Row],[Date]],"mmm-yyyy")</f>
        <v>Jan-2023</v>
      </c>
      <c r="M90">
        <f>HOUR(Table1[[#This Row],[Time]])</f>
        <v>17</v>
      </c>
    </row>
    <row r="91" spans="1:13" x14ac:dyDescent="0.3">
      <c r="A91">
        <v>1090</v>
      </c>
      <c r="B91" s="3">
        <v>44954.01918265046</v>
      </c>
      <c r="C91" s="1">
        <v>44954.01918265046</v>
      </c>
      <c r="D91" t="s">
        <v>101</v>
      </c>
      <c r="E91" t="s">
        <v>28</v>
      </c>
      <c r="F91" t="s">
        <v>24</v>
      </c>
      <c r="G91" t="s">
        <v>25</v>
      </c>
      <c r="H91">
        <v>3</v>
      </c>
      <c r="I91">
        <v>826</v>
      </c>
      <c r="J91">
        <v>2478</v>
      </c>
      <c r="K91" t="str">
        <f>TEXT(Table1[[#This Row],[Date]],"dddd")</f>
        <v>Saturday</v>
      </c>
      <c r="L91" t="str">
        <f>TEXT(Table1[[#This Row],[Date]],"mmm-yyyy")</f>
        <v>Jan-2023</v>
      </c>
      <c r="M91">
        <f>HOUR(Table1[[#This Row],[Time]])</f>
        <v>0</v>
      </c>
    </row>
    <row r="92" spans="1:13" x14ac:dyDescent="0.3">
      <c r="A92">
        <v>1091</v>
      </c>
      <c r="B92" s="3">
        <v>44954.322768969905</v>
      </c>
      <c r="C92" s="1">
        <v>44954.322768969905</v>
      </c>
      <c r="D92" t="s">
        <v>102</v>
      </c>
      <c r="E92" t="s">
        <v>28</v>
      </c>
      <c r="F92" t="s">
        <v>15</v>
      </c>
      <c r="G92" t="s">
        <v>29</v>
      </c>
      <c r="H92">
        <v>3</v>
      </c>
      <c r="I92">
        <v>584</v>
      </c>
      <c r="J92">
        <v>1752</v>
      </c>
      <c r="K92" t="str">
        <f>TEXT(Table1[[#This Row],[Date]],"dddd")</f>
        <v>Saturday</v>
      </c>
      <c r="L92" t="str">
        <f>TEXT(Table1[[#This Row],[Date]],"mmm-yyyy")</f>
        <v>Jan-2023</v>
      </c>
      <c r="M92">
        <f>HOUR(Table1[[#This Row],[Time]])</f>
        <v>7</v>
      </c>
    </row>
    <row r="93" spans="1:13" x14ac:dyDescent="0.3">
      <c r="A93">
        <v>1092</v>
      </c>
      <c r="B93" s="3">
        <v>44954.626355300927</v>
      </c>
      <c r="C93" s="1">
        <v>44954.626355300927</v>
      </c>
      <c r="D93" t="s">
        <v>103</v>
      </c>
      <c r="E93" t="s">
        <v>10</v>
      </c>
      <c r="F93" t="s">
        <v>39</v>
      </c>
      <c r="G93" t="s">
        <v>33</v>
      </c>
      <c r="H93">
        <v>1</v>
      </c>
      <c r="I93">
        <v>473</v>
      </c>
      <c r="J93">
        <v>473</v>
      </c>
      <c r="K93" t="str">
        <f>TEXT(Table1[[#This Row],[Date]],"dddd")</f>
        <v>Saturday</v>
      </c>
      <c r="L93" t="str">
        <f>TEXT(Table1[[#This Row],[Date]],"mmm-yyyy")</f>
        <v>Jan-2023</v>
      </c>
      <c r="M93">
        <f>HOUR(Table1[[#This Row],[Time]])</f>
        <v>15</v>
      </c>
    </row>
    <row r="94" spans="1:13" x14ac:dyDescent="0.3">
      <c r="A94">
        <v>1093</v>
      </c>
      <c r="B94" s="3">
        <v>44954.929941620372</v>
      </c>
      <c r="C94" s="1">
        <v>44954.929941620372</v>
      </c>
      <c r="D94" t="s">
        <v>61</v>
      </c>
      <c r="E94" t="s">
        <v>14</v>
      </c>
      <c r="F94" t="s">
        <v>18</v>
      </c>
      <c r="G94" t="s">
        <v>40</v>
      </c>
      <c r="H94">
        <v>3</v>
      </c>
      <c r="I94">
        <v>809</v>
      </c>
      <c r="J94">
        <v>2427</v>
      </c>
      <c r="K94" t="str">
        <f>TEXT(Table1[[#This Row],[Date]],"dddd")</f>
        <v>Saturday</v>
      </c>
      <c r="L94" t="str">
        <f>TEXT(Table1[[#This Row],[Date]],"mmm-yyyy")</f>
        <v>Jan-2023</v>
      </c>
      <c r="M94">
        <f>HOUR(Table1[[#This Row],[Time]])</f>
        <v>22</v>
      </c>
    </row>
    <row r="95" spans="1:13" x14ac:dyDescent="0.3">
      <c r="A95">
        <v>1094</v>
      </c>
      <c r="B95" s="3">
        <v>44955.233527939818</v>
      </c>
      <c r="C95" s="1">
        <v>44955.233527939818</v>
      </c>
      <c r="D95" t="s">
        <v>23</v>
      </c>
      <c r="E95" t="s">
        <v>14</v>
      </c>
      <c r="F95" t="s">
        <v>39</v>
      </c>
      <c r="G95" t="s">
        <v>19</v>
      </c>
      <c r="H95">
        <v>3</v>
      </c>
      <c r="I95">
        <v>299</v>
      </c>
      <c r="J95">
        <v>897</v>
      </c>
      <c r="K95" t="str">
        <f>TEXT(Table1[[#This Row],[Date]],"dddd")</f>
        <v>Sunday</v>
      </c>
      <c r="L95" t="str">
        <f>TEXT(Table1[[#This Row],[Date]],"mmm-yyyy")</f>
        <v>Jan-2023</v>
      </c>
      <c r="M95">
        <f>HOUR(Table1[[#This Row],[Time]])</f>
        <v>5</v>
      </c>
    </row>
    <row r="96" spans="1:13" x14ac:dyDescent="0.3">
      <c r="A96">
        <v>1095</v>
      </c>
      <c r="B96" s="3">
        <v>44955.537114259256</v>
      </c>
      <c r="C96" s="1">
        <v>44955.537114259256</v>
      </c>
      <c r="D96" t="s">
        <v>104</v>
      </c>
      <c r="E96" t="s">
        <v>17</v>
      </c>
      <c r="F96" t="s">
        <v>11</v>
      </c>
      <c r="G96" t="s">
        <v>33</v>
      </c>
      <c r="H96">
        <v>1</v>
      </c>
      <c r="I96">
        <v>636</v>
      </c>
      <c r="J96">
        <v>636</v>
      </c>
      <c r="K96" t="str">
        <f>TEXT(Table1[[#This Row],[Date]],"dddd")</f>
        <v>Sunday</v>
      </c>
      <c r="L96" t="str">
        <f>TEXT(Table1[[#This Row],[Date]],"mmm-yyyy")</f>
        <v>Jan-2023</v>
      </c>
      <c r="M96">
        <f>HOUR(Table1[[#This Row],[Time]])</f>
        <v>12</v>
      </c>
    </row>
    <row r="97" spans="1:13" x14ac:dyDescent="0.3">
      <c r="A97">
        <v>1096</v>
      </c>
      <c r="B97" s="3">
        <v>44955.840700578701</v>
      </c>
      <c r="C97" s="1">
        <v>44955.840700578701</v>
      </c>
      <c r="D97" t="s">
        <v>44</v>
      </c>
      <c r="E97" t="s">
        <v>10</v>
      </c>
      <c r="F97" t="s">
        <v>24</v>
      </c>
      <c r="G97" t="s">
        <v>12</v>
      </c>
      <c r="H97">
        <v>3</v>
      </c>
      <c r="I97">
        <v>565</v>
      </c>
      <c r="J97">
        <v>1695</v>
      </c>
      <c r="K97" t="str">
        <f>TEXT(Table1[[#This Row],[Date]],"dddd")</f>
        <v>Sunday</v>
      </c>
      <c r="L97" t="str">
        <f>TEXT(Table1[[#This Row],[Date]],"mmm-yyyy")</f>
        <v>Jan-2023</v>
      </c>
      <c r="M97">
        <f>HOUR(Table1[[#This Row],[Time]])</f>
        <v>20</v>
      </c>
    </row>
    <row r="98" spans="1:13" x14ac:dyDescent="0.3">
      <c r="A98">
        <v>1097</v>
      </c>
      <c r="B98" s="3">
        <v>44956.144286909723</v>
      </c>
      <c r="C98" s="1">
        <v>44956.144286909723</v>
      </c>
      <c r="D98" t="s">
        <v>105</v>
      </c>
      <c r="E98" t="s">
        <v>14</v>
      </c>
      <c r="F98" t="s">
        <v>11</v>
      </c>
      <c r="G98" t="s">
        <v>19</v>
      </c>
      <c r="H98">
        <v>5</v>
      </c>
      <c r="I98">
        <v>188</v>
      </c>
      <c r="J98">
        <v>940</v>
      </c>
      <c r="K98" t="str">
        <f>TEXT(Table1[[#This Row],[Date]],"dddd")</f>
        <v>Monday</v>
      </c>
      <c r="L98" t="str">
        <f>TEXT(Table1[[#This Row],[Date]],"mmm-yyyy")</f>
        <v>Jan-2023</v>
      </c>
      <c r="M98">
        <f>HOUR(Table1[[#This Row],[Time]])</f>
        <v>3</v>
      </c>
    </row>
    <row r="99" spans="1:13" x14ac:dyDescent="0.3">
      <c r="A99">
        <v>1098</v>
      </c>
      <c r="B99" s="3">
        <v>44956.447873229168</v>
      </c>
      <c r="C99" s="1">
        <v>44956.447873229168</v>
      </c>
      <c r="D99" t="s">
        <v>106</v>
      </c>
      <c r="E99" t="s">
        <v>10</v>
      </c>
      <c r="F99" t="s">
        <v>18</v>
      </c>
      <c r="G99" t="s">
        <v>42</v>
      </c>
      <c r="H99">
        <v>2</v>
      </c>
      <c r="I99">
        <v>367</v>
      </c>
      <c r="J99">
        <v>734</v>
      </c>
      <c r="K99" t="str">
        <f>TEXT(Table1[[#This Row],[Date]],"dddd")</f>
        <v>Monday</v>
      </c>
      <c r="L99" t="str">
        <f>TEXT(Table1[[#This Row],[Date]],"mmm-yyyy")</f>
        <v>Jan-2023</v>
      </c>
      <c r="M99">
        <f>HOUR(Table1[[#This Row],[Time]])</f>
        <v>10</v>
      </c>
    </row>
    <row r="100" spans="1:13" x14ac:dyDescent="0.3">
      <c r="A100">
        <v>1099</v>
      </c>
      <c r="B100" s="3">
        <v>44956.751459548614</v>
      </c>
      <c r="C100" s="1">
        <v>44956.751459548614</v>
      </c>
      <c r="D100" t="s">
        <v>107</v>
      </c>
      <c r="E100" t="s">
        <v>10</v>
      </c>
      <c r="F100" t="s">
        <v>18</v>
      </c>
      <c r="G100" t="s">
        <v>56</v>
      </c>
      <c r="H100">
        <v>2</v>
      </c>
      <c r="I100">
        <v>754</v>
      </c>
      <c r="J100">
        <v>1508</v>
      </c>
      <c r="K100" t="str">
        <f>TEXT(Table1[[#This Row],[Date]],"dddd")</f>
        <v>Monday</v>
      </c>
      <c r="L100" t="str">
        <f>TEXT(Table1[[#This Row],[Date]],"mmm-yyyy")</f>
        <v>Jan-2023</v>
      </c>
      <c r="M100">
        <f>HOUR(Table1[[#This Row],[Time]])</f>
        <v>18</v>
      </c>
    </row>
    <row r="101" spans="1:13" x14ac:dyDescent="0.3">
      <c r="A101">
        <v>1100</v>
      </c>
      <c r="B101" s="3">
        <v>44957.055045868059</v>
      </c>
      <c r="C101" s="1">
        <v>44957.055045868059</v>
      </c>
      <c r="D101" t="s">
        <v>108</v>
      </c>
      <c r="E101" t="s">
        <v>14</v>
      </c>
      <c r="F101" t="s">
        <v>18</v>
      </c>
      <c r="G101" t="s">
        <v>56</v>
      </c>
      <c r="H101">
        <v>1</v>
      </c>
      <c r="I101">
        <v>670</v>
      </c>
      <c r="J101">
        <v>670</v>
      </c>
      <c r="K101" t="str">
        <f>TEXT(Table1[[#This Row],[Date]],"dddd")</f>
        <v>Tuesday</v>
      </c>
      <c r="L101" t="str">
        <f>TEXT(Table1[[#This Row],[Date]],"mmm-yyyy")</f>
        <v>Jan-2023</v>
      </c>
      <c r="M101">
        <f>HOUR(Table1[[#This Row],[Time]])</f>
        <v>1</v>
      </c>
    </row>
    <row r="102" spans="1:13" x14ac:dyDescent="0.3">
      <c r="A102">
        <v>1101</v>
      </c>
      <c r="B102" s="3">
        <v>44957.358632199073</v>
      </c>
      <c r="C102" s="1">
        <v>44957.358632199073</v>
      </c>
      <c r="D102" t="s">
        <v>109</v>
      </c>
      <c r="E102" t="s">
        <v>17</v>
      </c>
      <c r="F102" t="s">
        <v>24</v>
      </c>
      <c r="G102" t="s">
        <v>29</v>
      </c>
      <c r="H102">
        <v>4</v>
      </c>
      <c r="I102">
        <v>588</v>
      </c>
      <c r="J102">
        <v>2352</v>
      </c>
      <c r="K102" t="str">
        <f>TEXT(Table1[[#This Row],[Date]],"dddd")</f>
        <v>Tuesday</v>
      </c>
      <c r="L102" t="str">
        <f>TEXT(Table1[[#This Row],[Date]],"mmm-yyyy")</f>
        <v>Jan-2023</v>
      </c>
      <c r="M102">
        <f>HOUR(Table1[[#This Row],[Time]])</f>
        <v>8</v>
      </c>
    </row>
    <row r="103" spans="1:13" x14ac:dyDescent="0.3">
      <c r="A103">
        <v>1102</v>
      </c>
      <c r="B103" s="3">
        <v>44957.662218518519</v>
      </c>
      <c r="C103" s="1">
        <v>44957.662218518519</v>
      </c>
      <c r="D103" t="s">
        <v>110</v>
      </c>
      <c r="E103" t="s">
        <v>17</v>
      </c>
      <c r="F103" t="s">
        <v>15</v>
      </c>
      <c r="G103" t="s">
        <v>22</v>
      </c>
      <c r="H103">
        <v>1</v>
      </c>
      <c r="I103">
        <v>976</v>
      </c>
      <c r="J103">
        <v>976</v>
      </c>
      <c r="K103" t="str">
        <f>TEXT(Table1[[#This Row],[Date]],"dddd")</f>
        <v>Tuesday</v>
      </c>
      <c r="L103" t="str">
        <f>TEXT(Table1[[#This Row],[Date]],"mmm-yyyy")</f>
        <v>Jan-2023</v>
      </c>
      <c r="M103">
        <f>HOUR(Table1[[#This Row],[Time]])</f>
        <v>15</v>
      </c>
    </row>
    <row r="104" spans="1:13" x14ac:dyDescent="0.3">
      <c r="A104">
        <v>1103</v>
      </c>
      <c r="B104" s="3">
        <v>44957.965804837964</v>
      </c>
      <c r="C104" s="1">
        <v>44957.965804837964</v>
      </c>
      <c r="D104" t="s">
        <v>70</v>
      </c>
      <c r="E104" t="s">
        <v>17</v>
      </c>
      <c r="F104" t="s">
        <v>39</v>
      </c>
      <c r="G104" t="s">
        <v>19</v>
      </c>
      <c r="H104">
        <v>4</v>
      </c>
      <c r="I104">
        <v>637</v>
      </c>
      <c r="J104">
        <v>2548</v>
      </c>
      <c r="K104" t="str">
        <f>TEXT(Table1[[#This Row],[Date]],"dddd")</f>
        <v>Tuesday</v>
      </c>
      <c r="L104" t="str">
        <f>TEXT(Table1[[#This Row],[Date]],"mmm-yyyy")</f>
        <v>Jan-2023</v>
      </c>
      <c r="M104">
        <f>HOUR(Table1[[#This Row],[Time]])</f>
        <v>23</v>
      </c>
    </row>
    <row r="105" spans="1:13" x14ac:dyDescent="0.3">
      <c r="A105">
        <v>1104</v>
      </c>
      <c r="B105" s="3">
        <v>44958.26939115741</v>
      </c>
      <c r="C105" s="1">
        <v>44958.26939115741</v>
      </c>
      <c r="D105" t="s">
        <v>47</v>
      </c>
      <c r="E105" t="s">
        <v>28</v>
      </c>
      <c r="F105" t="s">
        <v>39</v>
      </c>
      <c r="G105" t="s">
        <v>35</v>
      </c>
      <c r="H105">
        <v>2</v>
      </c>
      <c r="I105">
        <v>146</v>
      </c>
      <c r="J105">
        <v>292</v>
      </c>
      <c r="K105" t="str">
        <f>TEXT(Table1[[#This Row],[Date]],"dddd")</f>
        <v>Wednesday</v>
      </c>
      <c r="L105" t="str">
        <f>TEXT(Table1[[#This Row],[Date]],"mmm-yyyy")</f>
        <v>Feb-2023</v>
      </c>
      <c r="M105">
        <f>HOUR(Table1[[#This Row],[Time]])</f>
        <v>6</v>
      </c>
    </row>
    <row r="106" spans="1:13" x14ac:dyDescent="0.3">
      <c r="A106">
        <v>1105</v>
      </c>
      <c r="B106" s="3">
        <v>44958.572977476855</v>
      </c>
      <c r="C106" s="1">
        <v>44958.572977476855</v>
      </c>
      <c r="D106" t="s">
        <v>111</v>
      </c>
      <c r="E106" t="s">
        <v>14</v>
      </c>
      <c r="F106" t="s">
        <v>39</v>
      </c>
      <c r="G106" t="s">
        <v>25</v>
      </c>
      <c r="H106">
        <v>1</v>
      </c>
      <c r="I106">
        <v>387</v>
      </c>
      <c r="J106">
        <v>387</v>
      </c>
      <c r="K106" t="str">
        <f>TEXT(Table1[[#This Row],[Date]],"dddd")</f>
        <v>Wednesday</v>
      </c>
      <c r="L106" t="str">
        <f>TEXT(Table1[[#This Row],[Date]],"mmm-yyyy")</f>
        <v>Feb-2023</v>
      </c>
      <c r="M106">
        <f>HOUR(Table1[[#This Row],[Time]])</f>
        <v>13</v>
      </c>
    </row>
    <row r="107" spans="1:13" x14ac:dyDescent="0.3">
      <c r="A107">
        <v>1106</v>
      </c>
      <c r="B107" s="3">
        <v>44958.876563807869</v>
      </c>
      <c r="C107" s="1">
        <v>44958.876563807869</v>
      </c>
      <c r="D107" t="s">
        <v>112</v>
      </c>
      <c r="E107" t="s">
        <v>28</v>
      </c>
      <c r="F107" t="s">
        <v>39</v>
      </c>
      <c r="G107" t="s">
        <v>56</v>
      </c>
      <c r="H107">
        <v>5</v>
      </c>
      <c r="I107">
        <v>877</v>
      </c>
      <c r="J107">
        <v>4385</v>
      </c>
      <c r="K107" t="str">
        <f>TEXT(Table1[[#This Row],[Date]],"dddd")</f>
        <v>Wednesday</v>
      </c>
      <c r="L107" t="str">
        <f>TEXT(Table1[[#This Row],[Date]],"mmm-yyyy")</f>
        <v>Feb-2023</v>
      </c>
      <c r="M107">
        <f>HOUR(Table1[[#This Row],[Time]])</f>
        <v>21</v>
      </c>
    </row>
    <row r="108" spans="1:13" x14ac:dyDescent="0.3">
      <c r="A108">
        <v>1107</v>
      </c>
      <c r="B108" s="3">
        <v>44959.180150127315</v>
      </c>
      <c r="C108" s="1">
        <v>44959.180150127315</v>
      </c>
      <c r="D108" t="s">
        <v>113</v>
      </c>
      <c r="E108" t="s">
        <v>28</v>
      </c>
      <c r="F108" t="s">
        <v>39</v>
      </c>
      <c r="G108" t="s">
        <v>22</v>
      </c>
      <c r="H108">
        <v>3</v>
      </c>
      <c r="I108">
        <v>115</v>
      </c>
      <c r="J108">
        <v>345</v>
      </c>
      <c r="K108" t="str">
        <f>TEXT(Table1[[#This Row],[Date]],"dddd")</f>
        <v>Thursday</v>
      </c>
      <c r="L108" t="str">
        <f>TEXT(Table1[[#This Row],[Date]],"mmm-yyyy")</f>
        <v>Feb-2023</v>
      </c>
      <c r="M108">
        <f>HOUR(Table1[[#This Row],[Time]])</f>
        <v>4</v>
      </c>
    </row>
    <row r="109" spans="1:13" x14ac:dyDescent="0.3">
      <c r="A109">
        <v>1108</v>
      </c>
      <c r="B109" s="3">
        <v>44959.48373644676</v>
      </c>
      <c r="C109" s="1">
        <v>44959.48373644676</v>
      </c>
      <c r="D109" t="s">
        <v>114</v>
      </c>
      <c r="E109" t="s">
        <v>28</v>
      </c>
      <c r="F109" t="s">
        <v>15</v>
      </c>
      <c r="G109" t="s">
        <v>56</v>
      </c>
      <c r="H109">
        <v>4</v>
      </c>
      <c r="I109">
        <v>810</v>
      </c>
      <c r="J109">
        <v>3240</v>
      </c>
      <c r="K109" t="str">
        <f>TEXT(Table1[[#This Row],[Date]],"dddd")</f>
        <v>Thursday</v>
      </c>
      <c r="L109" t="str">
        <f>TEXT(Table1[[#This Row],[Date]],"mmm-yyyy")</f>
        <v>Feb-2023</v>
      </c>
      <c r="M109">
        <f>HOUR(Table1[[#This Row],[Time]])</f>
        <v>11</v>
      </c>
    </row>
    <row r="110" spans="1:13" x14ac:dyDescent="0.3">
      <c r="A110">
        <v>1109</v>
      </c>
      <c r="B110" s="3">
        <v>44959.787322766206</v>
      </c>
      <c r="C110" s="1">
        <v>44959.787322766206</v>
      </c>
      <c r="D110" t="s">
        <v>115</v>
      </c>
      <c r="E110" t="s">
        <v>10</v>
      </c>
      <c r="F110" t="s">
        <v>11</v>
      </c>
      <c r="G110" t="s">
        <v>40</v>
      </c>
      <c r="H110">
        <v>3</v>
      </c>
      <c r="I110">
        <v>500</v>
      </c>
      <c r="J110">
        <v>1500</v>
      </c>
      <c r="K110" t="str">
        <f>TEXT(Table1[[#This Row],[Date]],"dddd")</f>
        <v>Thursday</v>
      </c>
      <c r="L110" t="str">
        <f>TEXT(Table1[[#This Row],[Date]],"mmm-yyyy")</f>
        <v>Feb-2023</v>
      </c>
      <c r="M110">
        <f>HOUR(Table1[[#This Row],[Time]])</f>
        <v>18</v>
      </c>
    </row>
    <row r="111" spans="1:13" x14ac:dyDescent="0.3">
      <c r="A111">
        <v>1110</v>
      </c>
      <c r="B111" s="3">
        <v>44960.090909085651</v>
      </c>
      <c r="C111" s="1">
        <v>44960.090909085651</v>
      </c>
      <c r="D111" t="s">
        <v>116</v>
      </c>
      <c r="E111" t="s">
        <v>10</v>
      </c>
      <c r="F111" t="s">
        <v>24</v>
      </c>
      <c r="G111" t="s">
        <v>25</v>
      </c>
      <c r="H111">
        <v>3</v>
      </c>
      <c r="I111">
        <v>893</v>
      </c>
      <c r="J111">
        <v>2679</v>
      </c>
      <c r="K111" t="str">
        <f>TEXT(Table1[[#This Row],[Date]],"dddd")</f>
        <v>Friday</v>
      </c>
      <c r="L111" t="str">
        <f>TEXT(Table1[[#This Row],[Date]],"mmm-yyyy")</f>
        <v>Feb-2023</v>
      </c>
      <c r="M111">
        <f>HOUR(Table1[[#This Row],[Time]])</f>
        <v>2</v>
      </c>
    </row>
    <row r="112" spans="1:13" x14ac:dyDescent="0.3">
      <c r="A112">
        <v>1111</v>
      </c>
      <c r="B112" s="3">
        <v>44960.394495416665</v>
      </c>
      <c r="C112" s="1">
        <v>44960.394495416665</v>
      </c>
      <c r="D112" t="s">
        <v>117</v>
      </c>
      <c r="E112" t="s">
        <v>14</v>
      </c>
      <c r="F112" t="s">
        <v>11</v>
      </c>
      <c r="G112" t="s">
        <v>22</v>
      </c>
      <c r="H112">
        <v>1</v>
      </c>
      <c r="I112">
        <v>185</v>
      </c>
      <c r="J112">
        <v>185</v>
      </c>
      <c r="K112" t="str">
        <f>TEXT(Table1[[#This Row],[Date]],"dddd")</f>
        <v>Friday</v>
      </c>
      <c r="L112" t="str">
        <f>TEXT(Table1[[#This Row],[Date]],"mmm-yyyy")</f>
        <v>Feb-2023</v>
      </c>
      <c r="M112">
        <f>HOUR(Table1[[#This Row],[Time]])</f>
        <v>9</v>
      </c>
    </row>
    <row r="113" spans="1:13" x14ac:dyDescent="0.3">
      <c r="A113">
        <v>1112</v>
      </c>
      <c r="B113" s="3">
        <v>44960.698081736111</v>
      </c>
      <c r="C113" s="1">
        <v>44960.698081736111</v>
      </c>
      <c r="D113" t="s">
        <v>51</v>
      </c>
      <c r="E113" t="s">
        <v>14</v>
      </c>
      <c r="F113" t="s">
        <v>11</v>
      </c>
      <c r="G113" t="s">
        <v>56</v>
      </c>
      <c r="H113">
        <v>3</v>
      </c>
      <c r="I113">
        <v>349</v>
      </c>
      <c r="J113">
        <v>1047</v>
      </c>
      <c r="K113" t="str">
        <f>TEXT(Table1[[#This Row],[Date]],"dddd")</f>
        <v>Friday</v>
      </c>
      <c r="L113" t="str">
        <f>TEXT(Table1[[#This Row],[Date]],"mmm-yyyy")</f>
        <v>Feb-2023</v>
      </c>
      <c r="M113">
        <f>HOUR(Table1[[#This Row],[Time]])</f>
        <v>16</v>
      </c>
    </row>
    <row r="114" spans="1:13" x14ac:dyDescent="0.3">
      <c r="A114">
        <v>1113</v>
      </c>
      <c r="B114" s="3">
        <v>44961.001668055556</v>
      </c>
      <c r="C114" s="1">
        <v>44961.001668055556</v>
      </c>
      <c r="D114" t="s">
        <v>31</v>
      </c>
      <c r="E114" t="s">
        <v>10</v>
      </c>
      <c r="F114" t="s">
        <v>39</v>
      </c>
      <c r="G114" t="s">
        <v>22</v>
      </c>
      <c r="H114">
        <v>5</v>
      </c>
      <c r="I114">
        <v>490</v>
      </c>
      <c r="J114">
        <v>2450</v>
      </c>
      <c r="K114" t="str">
        <f>TEXT(Table1[[#This Row],[Date]],"dddd")</f>
        <v>Saturday</v>
      </c>
      <c r="L114" t="str">
        <f>TEXT(Table1[[#This Row],[Date]],"mmm-yyyy")</f>
        <v>Feb-2023</v>
      </c>
      <c r="M114">
        <f>HOUR(Table1[[#This Row],[Time]])</f>
        <v>0</v>
      </c>
    </row>
    <row r="115" spans="1:13" x14ac:dyDescent="0.3">
      <c r="A115">
        <v>1114</v>
      </c>
      <c r="B115" s="3">
        <v>44961.305254375002</v>
      </c>
      <c r="C115" s="1">
        <v>44961.305254375002</v>
      </c>
      <c r="D115" t="s">
        <v>118</v>
      </c>
      <c r="E115" t="s">
        <v>10</v>
      </c>
      <c r="F115" t="s">
        <v>39</v>
      </c>
      <c r="G115" t="s">
        <v>42</v>
      </c>
      <c r="H115">
        <v>3</v>
      </c>
      <c r="I115">
        <v>881</v>
      </c>
      <c r="J115">
        <v>2643</v>
      </c>
      <c r="K115" t="str">
        <f>TEXT(Table1[[#This Row],[Date]],"dddd")</f>
        <v>Saturday</v>
      </c>
      <c r="L115" t="str">
        <f>TEXT(Table1[[#This Row],[Date]],"mmm-yyyy")</f>
        <v>Feb-2023</v>
      </c>
      <c r="M115">
        <f>HOUR(Table1[[#This Row],[Time]])</f>
        <v>7</v>
      </c>
    </row>
    <row r="116" spans="1:13" x14ac:dyDescent="0.3">
      <c r="A116">
        <v>1115</v>
      </c>
      <c r="B116" s="3">
        <v>44961.608840706016</v>
      </c>
      <c r="C116" s="1">
        <v>44961.608840706016</v>
      </c>
      <c r="D116" t="s">
        <v>119</v>
      </c>
      <c r="E116" t="s">
        <v>28</v>
      </c>
      <c r="F116" t="s">
        <v>15</v>
      </c>
      <c r="G116" t="s">
        <v>42</v>
      </c>
      <c r="H116">
        <v>1</v>
      </c>
      <c r="I116">
        <v>434</v>
      </c>
      <c r="J116">
        <v>434</v>
      </c>
      <c r="K116" t="str">
        <f>TEXT(Table1[[#This Row],[Date]],"dddd")</f>
        <v>Saturday</v>
      </c>
      <c r="L116" t="str">
        <f>TEXT(Table1[[#This Row],[Date]],"mmm-yyyy")</f>
        <v>Feb-2023</v>
      </c>
      <c r="M116">
        <f>HOUR(Table1[[#This Row],[Time]])</f>
        <v>14</v>
      </c>
    </row>
    <row r="117" spans="1:13" x14ac:dyDescent="0.3">
      <c r="A117">
        <v>1116</v>
      </c>
      <c r="B117" s="3">
        <v>44961.912427025462</v>
      </c>
      <c r="C117" s="1">
        <v>44961.912427025462</v>
      </c>
      <c r="D117" t="s">
        <v>120</v>
      </c>
      <c r="E117" t="s">
        <v>17</v>
      </c>
      <c r="F117" t="s">
        <v>24</v>
      </c>
      <c r="G117" t="s">
        <v>25</v>
      </c>
      <c r="H117">
        <v>5</v>
      </c>
      <c r="I117">
        <v>728</v>
      </c>
      <c r="J117">
        <v>3640</v>
      </c>
      <c r="K117" t="str">
        <f>TEXT(Table1[[#This Row],[Date]],"dddd")</f>
        <v>Saturday</v>
      </c>
      <c r="L117" t="str">
        <f>TEXT(Table1[[#This Row],[Date]],"mmm-yyyy")</f>
        <v>Feb-2023</v>
      </c>
      <c r="M117">
        <f>HOUR(Table1[[#This Row],[Time]])</f>
        <v>21</v>
      </c>
    </row>
    <row r="118" spans="1:13" x14ac:dyDescent="0.3">
      <c r="A118">
        <v>1117</v>
      </c>
      <c r="B118" s="3">
        <v>44962.216013344907</v>
      </c>
      <c r="C118" s="1">
        <v>44962.216013344907</v>
      </c>
      <c r="D118" t="s">
        <v>121</v>
      </c>
      <c r="E118" t="s">
        <v>17</v>
      </c>
      <c r="F118" t="s">
        <v>18</v>
      </c>
      <c r="G118" t="s">
        <v>12</v>
      </c>
      <c r="H118">
        <v>2</v>
      </c>
      <c r="I118">
        <v>618</v>
      </c>
      <c r="J118">
        <v>1236</v>
      </c>
      <c r="K118" t="str">
        <f>TEXT(Table1[[#This Row],[Date]],"dddd")</f>
        <v>Sunday</v>
      </c>
      <c r="L118" t="str">
        <f>TEXT(Table1[[#This Row],[Date]],"mmm-yyyy")</f>
        <v>Feb-2023</v>
      </c>
      <c r="M118">
        <f>HOUR(Table1[[#This Row],[Time]])</f>
        <v>5</v>
      </c>
    </row>
    <row r="119" spans="1:13" x14ac:dyDescent="0.3">
      <c r="A119">
        <v>1118</v>
      </c>
      <c r="B119" s="3">
        <v>44962.519599664352</v>
      </c>
      <c r="C119" s="1">
        <v>44962.519599664352</v>
      </c>
      <c r="D119" t="s">
        <v>122</v>
      </c>
      <c r="E119" t="s">
        <v>17</v>
      </c>
      <c r="F119" t="s">
        <v>11</v>
      </c>
      <c r="G119" t="s">
        <v>29</v>
      </c>
      <c r="H119">
        <v>3</v>
      </c>
      <c r="I119">
        <v>236</v>
      </c>
      <c r="J119">
        <v>708</v>
      </c>
      <c r="K119" t="str">
        <f>TEXT(Table1[[#This Row],[Date]],"dddd")</f>
        <v>Sunday</v>
      </c>
      <c r="L119" t="str">
        <f>TEXT(Table1[[#This Row],[Date]],"mmm-yyyy")</f>
        <v>Feb-2023</v>
      </c>
      <c r="M119">
        <f>HOUR(Table1[[#This Row],[Time]])</f>
        <v>12</v>
      </c>
    </row>
    <row r="120" spans="1:13" x14ac:dyDescent="0.3">
      <c r="A120">
        <v>1119</v>
      </c>
      <c r="B120" s="3">
        <v>44962.823185983798</v>
      </c>
      <c r="C120" s="1">
        <v>44962.823185983798</v>
      </c>
      <c r="D120" t="s">
        <v>123</v>
      </c>
      <c r="E120" t="s">
        <v>17</v>
      </c>
      <c r="F120" t="s">
        <v>18</v>
      </c>
      <c r="G120" t="s">
        <v>56</v>
      </c>
      <c r="H120">
        <v>1</v>
      </c>
      <c r="I120">
        <v>982</v>
      </c>
      <c r="J120">
        <v>982</v>
      </c>
      <c r="K120" t="str">
        <f>TEXT(Table1[[#This Row],[Date]],"dddd")</f>
        <v>Sunday</v>
      </c>
      <c r="L120" t="str">
        <f>TEXT(Table1[[#This Row],[Date]],"mmm-yyyy")</f>
        <v>Feb-2023</v>
      </c>
      <c r="M120">
        <f>HOUR(Table1[[#This Row],[Time]])</f>
        <v>19</v>
      </c>
    </row>
    <row r="121" spans="1:13" x14ac:dyDescent="0.3">
      <c r="A121">
        <v>1120</v>
      </c>
      <c r="B121" s="3">
        <v>44963.126772314812</v>
      </c>
      <c r="C121" s="1">
        <v>44963.126772314812</v>
      </c>
      <c r="D121" t="s">
        <v>124</v>
      </c>
      <c r="E121" t="s">
        <v>17</v>
      </c>
      <c r="F121" t="s">
        <v>24</v>
      </c>
      <c r="G121" t="s">
        <v>35</v>
      </c>
      <c r="H121">
        <v>2</v>
      </c>
      <c r="I121">
        <v>787</v>
      </c>
      <c r="J121">
        <v>1574</v>
      </c>
      <c r="K121" t="str">
        <f>TEXT(Table1[[#This Row],[Date]],"dddd")</f>
        <v>Monday</v>
      </c>
      <c r="L121" t="str">
        <f>TEXT(Table1[[#This Row],[Date]],"mmm-yyyy")</f>
        <v>Feb-2023</v>
      </c>
      <c r="M121">
        <f>HOUR(Table1[[#This Row],[Time]])</f>
        <v>3</v>
      </c>
    </row>
    <row r="122" spans="1:13" x14ac:dyDescent="0.3">
      <c r="A122">
        <v>1121</v>
      </c>
      <c r="B122" s="3">
        <v>44963.430358634258</v>
      </c>
      <c r="C122" s="1">
        <v>44963.430358634258</v>
      </c>
      <c r="D122" t="s">
        <v>125</v>
      </c>
      <c r="E122" t="s">
        <v>28</v>
      </c>
      <c r="F122" t="s">
        <v>11</v>
      </c>
      <c r="G122" t="s">
        <v>56</v>
      </c>
      <c r="H122">
        <v>2</v>
      </c>
      <c r="I122">
        <v>939</v>
      </c>
      <c r="J122">
        <v>1878</v>
      </c>
      <c r="K122" t="str">
        <f>TEXT(Table1[[#This Row],[Date]],"dddd")</f>
        <v>Monday</v>
      </c>
      <c r="L122" t="str">
        <f>TEXT(Table1[[#This Row],[Date]],"mmm-yyyy")</f>
        <v>Feb-2023</v>
      </c>
      <c r="M122">
        <f>HOUR(Table1[[#This Row],[Time]])</f>
        <v>10</v>
      </c>
    </row>
    <row r="123" spans="1:13" x14ac:dyDescent="0.3">
      <c r="A123">
        <v>1122</v>
      </c>
      <c r="B123" s="3">
        <v>44963.733944953703</v>
      </c>
      <c r="C123" s="1">
        <v>44963.733944953703</v>
      </c>
      <c r="D123" t="s">
        <v>126</v>
      </c>
      <c r="E123" t="s">
        <v>14</v>
      </c>
      <c r="F123" t="s">
        <v>18</v>
      </c>
      <c r="G123" t="s">
        <v>25</v>
      </c>
      <c r="H123">
        <v>4</v>
      </c>
      <c r="I123">
        <v>597</v>
      </c>
      <c r="J123">
        <v>2388</v>
      </c>
      <c r="K123" t="str">
        <f>TEXT(Table1[[#This Row],[Date]],"dddd")</f>
        <v>Monday</v>
      </c>
      <c r="L123" t="str">
        <f>TEXT(Table1[[#This Row],[Date]],"mmm-yyyy")</f>
        <v>Feb-2023</v>
      </c>
      <c r="M123">
        <f>HOUR(Table1[[#This Row],[Time]])</f>
        <v>17</v>
      </c>
    </row>
    <row r="124" spans="1:13" x14ac:dyDescent="0.3">
      <c r="A124">
        <v>1123</v>
      </c>
      <c r="B124" s="3">
        <v>44964.037531273148</v>
      </c>
      <c r="C124" s="1">
        <v>44964.037531273148</v>
      </c>
      <c r="D124" t="s">
        <v>64</v>
      </c>
      <c r="E124" t="s">
        <v>10</v>
      </c>
      <c r="F124" t="s">
        <v>18</v>
      </c>
      <c r="G124" t="s">
        <v>40</v>
      </c>
      <c r="H124">
        <v>5</v>
      </c>
      <c r="I124">
        <v>926</v>
      </c>
      <c r="J124">
        <v>4630</v>
      </c>
      <c r="K124" t="str">
        <f>TEXT(Table1[[#This Row],[Date]],"dddd")</f>
        <v>Tuesday</v>
      </c>
      <c r="L124" t="str">
        <f>TEXT(Table1[[#This Row],[Date]],"mmm-yyyy")</f>
        <v>Feb-2023</v>
      </c>
      <c r="M124">
        <f>HOUR(Table1[[#This Row],[Time]])</f>
        <v>0</v>
      </c>
    </row>
    <row r="125" spans="1:13" x14ac:dyDescent="0.3">
      <c r="A125">
        <v>1124</v>
      </c>
      <c r="B125" s="3">
        <v>44964.341117592594</v>
      </c>
      <c r="C125" s="1">
        <v>44964.341117592594</v>
      </c>
      <c r="D125" t="s">
        <v>84</v>
      </c>
      <c r="E125" t="s">
        <v>28</v>
      </c>
      <c r="F125" t="s">
        <v>15</v>
      </c>
      <c r="G125" t="s">
        <v>56</v>
      </c>
      <c r="H125">
        <v>3</v>
      </c>
      <c r="I125">
        <v>826</v>
      </c>
      <c r="J125">
        <v>2478</v>
      </c>
      <c r="K125" t="str">
        <f>TEXT(Table1[[#This Row],[Date]],"dddd")</f>
        <v>Tuesday</v>
      </c>
      <c r="L125" t="str">
        <f>TEXT(Table1[[#This Row],[Date]],"mmm-yyyy")</f>
        <v>Feb-2023</v>
      </c>
      <c r="M125">
        <f>HOUR(Table1[[#This Row],[Time]])</f>
        <v>8</v>
      </c>
    </row>
    <row r="126" spans="1:13" x14ac:dyDescent="0.3">
      <c r="A126">
        <v>1125</v>
      </c>
      <c r="B126" s="3">
        <v>44964.644703923608</v>
      </c>
      <c r="C126" s="1">
        <v>44964.644703923608</v>
      </c>
      <c r="D126" t="s">
        <v>52</v>
      </c>
      <c r="E126" t="s">
        <v>17</v>
      </c>
      <c r="F126" t="s">
        <v>24</v>
      </c>
      <c r="G126" t="s">
        <v>35</v>
      </c>
      <c r="H126">
        <v>1</v>
      </c>
      <c r="I126">
        <v>576</v>
      </c>
      <c r="J126">
        <v>576</v>
      </c>
      <c r="K126" t="str">
        <f>TEXT(Table1[[#This Row],[Date]],"dddd")</f>
        <v>Tuesday</v>
      </c>
      <c r="L126" t="str">
        <f>TEXT(Table1[[#This Row],[Date]],"mmm-yyyy")</f>
        <v>Feb-2023</v>
      </c>
      <c r="M126">
        <f>HOUR(Table1[[#This Row],[Time]])</f>
        <v>15</v>
      </c>
    </row>
    <row r="127" spans="1:13" x14ac:dyDescent="0.3">
      <c r="A127">
        <v>1126</v>
      </c>
      <c r="B127" s="3">
        <v>44964.948290243054</v>
      </c>
      <c r="C127" s="1">
        <v>44964.948290243054</v>
      </c>
      <c r="D127" t="s">
        <v>9</v>
      </c>
      <c r="E127" t="s">
        <v>10</v>
      </c>
      <c r="F127" t="s">
        <v>24</v>
      </c>
      <c r="G127" t="s">
        <v>19</v>
      </c>
      <c r="H127">
        <v>4</v>
      </c>
      <c r="I127">
        <v>693</v>
      </c>
      <c r="J127">
        <v>2772</v>
      </c>
      <c r="K127" t="str">
        <f>TEXT(Table1[[#This Row],[Date]],"dddd")</f>
        <v>Tuesday</v>
      </c>
      <c r="L127" t="str">
        <f>TEXT(Table1[[#This Row],[Date]],"mmm-yyyy")</f>
        <v>Feb-2023</v>
      </c>
      <c r="M127">
        <f>HOUR(Table1[[#This Row],[Time]])</f>
        <v>22</v>
      </c>
    </row>
    <row r="128" spans="1:13" x14ac:dyDescent="0.3">
      <c r="A128">
        <v>1127</v>
      </c>
      <c r="B128" s="3">
        <v>44965.251876562499</v>
      </c>
      <c r="C128" s="1">
        <v>44965.251876562499</v>
      </c>
      <c r="D128" t="s">
        <v>69</v>
      </c>
      <c r="E128" t="s">
        <v>28</v>
      </c>
      <c r="F128" t="s">
        <v>24</v>
      </c>
      <c r="G128" t="s">
        <v>19</v>
      </c>
      <c r="H128">
        <v>5</v>
      </c>
      <c r="I128">
        <v>322</v>
      </c>
      <c r="J128">
        <v>1610</v>
      </c>
      <c r="K128" t="str">
        <f>TEXT(Table1[[#This Row],[Date]],"dddd")</f>
        <v>Wednesday</v>
      </c>
      <c r="L128" t="str">
        <f>TEXT(Table1[[#This Row],[Date]],"mmm-yyyy")</f>
        <v>Feb-2023</v>
      </c>
      <c r="M128">
        <f>HOUR(Table1[[#This Row],[Time]])</f>
        <v>6</v>
      </c>
    </row>
    <row r="129" spans="1:13" x14ac:dyDescent="0.3">
      <c r="A129">
        <v>1128</v>
      </c>
      <c r="B129" s="3">
        <v>44965.555462881945</v>
      </c>
      <c r="C129" s="1">
        <v>44965.555462881945</v>
      </c>
      <c r="D129" t="s">
        <v>127</v>
      </c>
      <c r="E129" t="s">
        <v>17</v>
      </c>
      <c r="F129" t="s">
        <v>11</v>
      </c>
      <c r="G129" t="s">
        <v>19</v>
      </c>
      <c r="H129">
        <v>4</v>
      </c>
      <c r="I129">
        <v>471</v>
      </c>
      <c r="J129">
        <v>1884</v>
      </c>
      <c r="K129" t="str">
        <f>TEXT(Table1[[#This Row],[Date]],"dddd")</f>
        <v>Wednesday</v>
      </c>
      <c r="L129" t="str">
        <f>TEXT(Table1[[#This Row],[Date]],"mmm-yyyy")</f>
        <v>Feb-2023</v>
      </c>
      <c r="M129">
        <f>HOUR(Table1[[#This Row],[Time]])</f>
        <v>13</v>
      </c>
    </row>
    <row r="130" spans="1:13" x14ac:dyDescent="0.3">
      <c r="A130">
        <v>1129</v>
      </c>
      <c r="B130" s="3">
        <v>44965.859049212966</v>
      </c>
      <c r="C130" s="1">
        <v>44965.859049212966</v>
      </c>
      <c r="D130" t="s">
        <v>128</v>
      </c>
      <c r="E130" t="s">
        <v>28</v>
      </c>
      <c r="F130" t="s">
        <v>15</v>
      </c>
      <c r="G130" t="s">
        <v>19</v>
      </c>
      <c r="H130">
        <v>5</v>
      </c>
      <c r="I130">
        <v>501</v>
      </c>
      <c r="J130">
        <v>2505</v>
      </c>
      <c r="K130" t="str">
        <f>TEXT(Table1[[#This Row],[Date]],"dddd")</f>
        <v>Wednesday</v>
      </c>
      <c r="L130" t="str">
        <f>TEXT(Table1[[#This Row],[Date]],"mmm-yyyy")</f>
        <v>Feb-2023</v>
      </c>
      <c r="M130">
        <f>HOUR(Table1[[#This Row],[Time]])</f>
        <v>20</v>
      </c>
    </row>
    <row r="131" spans="1:13" x14ac:dyDescent="0.3">
      <c r="A131">
        <v>1130</v>
      </c>
      <c r="B131" s="3">
        <v>44966.162635532404</v>
      </c>
      <c r="C131" s="1">
        <v>44966.162635532404</v>
      </c>
      <c r="D131" t="s">
        <v>78</v>
      </c>
      <c r="E131" t="s">
        <v>10</v>
      </c>
      <c r="F131" t="s">
        <v>39</v>
      </c>
      <c r="G131" t="s">
        <v>25</v>
      </c>
      <c r="H131">
        <v>5</v>
      </c>
      <c r="I131">
        <v>542</v>
      </c>
      <c r="J131">
        <v>2710</v>
      </c>
      <c r="K131" t="str">
        <f>TEXT(Table1[[#This Row],[Date]],"dddd")</f>
        <v>Thursday</v>
      </c>
      <c r="L131" t="str">
        <f>TEXT(Table1[[#This Row],[Date]],"mmm-yyyy")</f>
        <v>Feb-2023</v>
      </c>
      <c r="M131">
        <f>HOUR(Table1[[#This Row],[Time]])</f>
        <v>3</v>
      </c>
    </row>
    <row r="132" spans="1:13" x14ac:dyDescent="0.3">
      <c r="A132">
        <v>1131</v>
      </c>
      <c r="B132" s="3">
        <v>44966.46622185185</v>
      </c>
      <c r="C132" s="1">
        <v>44966.46622185185</v>
      </c>
      <c r="D132" t="s">
        <v>129</v>
      </c>
      <c r="E132" t="s">
        <v>14</v>
      </c>
      <c r="F132" t="s">
        <v>11</v>
      </c>
      <c r="G132" t="s">
        <v>19</v>
      </c>
      <c r="H132">
        <v>3</v>
      </c>
      <c r="I132">
        <v>589</v>
      </c>
      <c r="J132">
        <v>1767</v>
      </c>
      <c r="K132" t="str">
        <f>TEXT(Table1[[#This Row],[Date]],"dddd")</f>
        <v>Thursday</v>
      </c>
      <c r="L132" t="str">
        <f>TEXT(Table1[[#This Row],[Date]],"mmm-yyyy")</f>
        <v>Feb-2023</v>
      </c>
      <c r="M132">
        <f>HOUR(Table1[[#This Row],[Time]])</f>
        <v>11</v>
      </c>
    </row>
    <row r="133" spans="1:13" x14ac:dyDescent="0.3">
      <c r="A133">
        <v>1132</v>
      </c>
      <c r="B133" s="3">
        <v>44966.769808171295</v>
      </c>
      <c r="C133" s="1">
        <v>44966.769808171295</v>
      </c>
      <c r="D133" t="s">
        <v>106</v>
      </c>
      <c r="E133" t="s">
        <v>17</v>
      </c>
      <c r="F133" t="s">
        <v>24</v>
      </c>
      <c r="G133" t="s">
        <v>42</v>
      </c>
      <c r="H133">
        <v>5</v>
      </c>
      <c r="I133">
        <v>714</v>
      </c>
      <c r="J133">
        <v>3570</v>
      </c>
      <c r="K133" t="str">
        <f>TEXT(Table1[[#This Row],[Date]],"dddd")</f>
        <v>Thursday</v>
      </c>
      <c r="L133" t="str">
        <f>TEXT(Table1[[#This Row],[Date]],"mmm-yyyy")</f>
        <v>Feb-2023</v>
      </c>
      <c r="M133">
        <f>HOUR(Table1[[#This Row],[Time]])</f>
        <v>18</v>
      </c>
    </row>
    <row r="134" spans="1:13" x14ac:dyDescent="0.3">
      <c r="A134">
        <v>1133</v>
      </c>
      <c r="B134" s="3">
        <v>44967.073394490741</v>
      </c>
      <c r="C134" s="1">
        <v>44967.073394490741</v>
      </c>
      <c r="D134" t="s">
        <v>130</v>
      </c>
      <c r="E134" t="s">
        <v>10</v>
      </c>
      <c r="F134" t="s">
        <v>11</v>
      </c>
      <c r="G134" t="s">
        <v>42</v>
      </c>
      <c r="H134">
        <v>4</v>
      </c>
      <c r="I134">
        <v>372</v>
      </c>
      <c r="J134">
        <v>1488</v>
      </c>
      <c r="K134" t="str">
        <f>TEXT(Table1[[#This Row],[Date]],"dddd")</f>
        <v>Friday</v>
      </c>
      <c r="L134" t="str">
        <f>TEXT(Table1[[#This Row],[Date]],"mmm-yyyy")</f>
        <v>Feb-2023</v>
      </c>
      <c r="M134">
        <f>HOUR(Table1[[#This Row],[Time]])</f>
        <v>1</v>
      </c>
    </row>
    <row r="135" spans="1:13" x14ac:dyDescent="0.3">
      <c r="A135">
        <v>1134</v>
      </c>
      <c r="B135" s="3">
        <v>44967.376980821762</v>
      </c>
      <c r="C135" s="1">
        <v>44967.376980821762</v>
      </c>
      <c r="D135" t="s">
        <v>131</v>
      </c>
      <c r="E135" t="s">
        <v>10</v>
      </c>
      <c r="F135" t="s">
        <v>18</v>
      </c>
      <c r="G135" t="s">
        <v>33</v>
      </c>
      <c r="H135">
        <v>5</v>
      </c>
      <c r="I135">
        <v>625</v>
      </c>
      <c r="J135">
        <v>3125</v>
      </c>
      <c r="K135" t="str">
        <f>TEXT(Table1[[#This Row],[Date]],"dddd")</f>
        <v>Friday</v>
      </c>
      <c r="L135" t="str">
        <f>TEXT(Table1[[#This Row],[Date]],"mmm-yyyy")</f>
        <v>Feb-2023</v>
      </c>
      <c r="M135">
        <f>HOUR(Table1[[#This Row],[Time]])</f>
        <v>9</v>
      </c>
    </row>
    <row r="136" spans="1:13" x14ac:dyDescent="0.3">
      <c r="A136">
        <v>1135</v>
      </c>
      <c r="B136" s="3">
        <v>44967.6805671412</v>
      </c>
      <c r="C136" s="1">
        <v>44967.6805671412</v>
      </c>
      <c r="D136" t="s">
        <v>132</v>
      </c>
      <c r="E136" t="s">
        <v>14</v>
      </c>
      <c r="F136" t="s">
        <v>11</v>
      </c>
      <c r="G136" t="s">
        <v>29</v>
      </c>
      <c r="H136">
        <v>3</v>
      </c>
      <c r="I136">
        <v>258</v>
      </c>
      <c r="J136">
        <v>774</v>
      </c>
      <c r="K136" t="str">
        <f>TEXT(Table1[[#This Row],[Date]],"dddd")</f>
        <v>Friday</v>
      </c>
      <c r="L136" t="str">
        <f>TEXT(Table1[[#This Row],[Date]],"mmm-yyyy")</f>
        <v>Feb-2023</v>
      </c>
      <c r="M136">
        <f>HOUR(Table1[[#This Row],[Time]])</f>
        <v>16</v>
      </c>
    </row>
    <row r="137" spans="1:13" x14ac:dyDescent="0.3">
      <c r="A137">
        <v>1136</v>
      </c>
      <c r="B137" s="3">
        <v>44967.984153460646</v>
      </c>
      <c r="C137" s="1">
        <v>44967.984153460646</v>
      </c>
      <c r="D137" t="s">
        <v>133</v>
      </c>
      <c r="E137" t="s">
        <v>28</v>
      </c>
      <c r="F137" t="s">
        <v>11</v>
      </c>
      <c r="G137" t="s">
        <v>22</v>
      </c>
      <c r="H137">
        <v>3</v>
      </c>
      <c r="I137">
        <v>251</v>
      </c>
      <c r="J137">
        <v>753</v>
      </c>
      <c r="K137" t="str">
        <f>TEXT(Table1[[#This Row],[Date]],"dddd")</f>
        <v>Friday</v>
      </c>
      <c r="L137" t="str">
        <f>TEXT(Table1[[#This Row],[Date]],"mmm-yyyy")</f>
        <v>Feb-2023</v>
      </c>
      <c r="M137">
        <f>HOUR(Table1[[#This Row],[Time]])</f>
        <v>23</v>
      </c>
    </row>
    <row r="138" spans="1:13" x14ac:dyDescent="0.3">
      <c r="A138">
        <v>1137</v>
      </c>
      <c r="B138" s="3">
        <v>44968.287739780091</v>
      </c>
      <c r="C138" s="1">
        <v>44968.287739780091</v>
      </c>
      <c r="D138" t="s">
        <v>134</v>
      </c>
      <c r="E138" t="s">
        <v>14</v>
      </c>
      <c r="F138" t="s">
        <v>24</v>
      </c>
      <c r="G138" t="s">
        <v>42</v>
      </c>
      <c r="H138">
        <v>4</v>
      </c>
      <c r="I138">
        <v>719</v>
      </c>
      <c r="J138">
        <v>2876</v>
      </c>
      <c r="K138" t="str">
        <f>TEXT(Table1[[#This Row],[Date]],"dddd")</f>
        <v>Saturday</v>
      </c>
      <c r="L138" t="str">
        <f>TEXT(Table1[[#This Row],[Date]],"mmm-yyyy")</f>
        <v>Feb-2023</v>
      </c>
      <c r="M138">
        <f>HOUR(Table1[[#This Row],[Time]])</f>
        <v>6</v>
      </c>
    </row>
    <row r="139" spans="1:13" x14ac:dyDescent="0.3">
      <c r="A139">
        <v>1138</v>
      </c>
      <c r="B139" s="3">
        <v>44968.591326099537</v>
      </c>
      <c r="C139" s="1">
        <v>44968.591326099537</v>
      </c>
      <c r="D139" t="s">
        <v>132</v>
      </c>
      <c r="E139" t="s">
        <v>14</v>
      </c>
      <c r="F139" t="s">
        <v>18</v>
      </c>
      <c r="G139" t="s">
        <v>22</v>
      </c>
      <c r="H139">
        <v>2</v>
      </c>
      <c r="I139">
        <v>287</v>
      </c>
      <c r="J139">
        <v>574</v>
      </c>
      <c r="K139" t="str">
        <f>TEXT(Table1[[#This Row],[Date]],"dddd")</f>
        <v>Saturday</v>
      </c>
      <c r="L139" t="str">
        <f>TEXT(Table1[[#This Row],[Date]],"mmm-yyyy")</f>
        <v>Feb-2023</v>
      </c>
      <c r="M139">
        <f>HOUR(Table1[[#This Row],[Time]])</f>
        <v>14</v>
      </c>
    </row>
    <row r="140" spans="1:13" x14ac:dyDescent="0.3">
      <c r="A140">
        <v>1139</v>
      </c>
      <c r="B140" s="3">
        <v>44968.894912430558</v>
      </c>
      <c r="C140" s="1">
        <v>44968.894912430558</v>
      </c>
      <c r="D140" t="s">
        <v>45</v>
      </c>
      <c r="E140" t="s">
        <v>28</v>
      </c>
      <c r="F140" t="s">
        <v>24</v>
      </c>
      <c r="G140" t="s">
        <v>33</v>
      </c>
      <c r="H140">
        <v>2</v>
      </c>
      <c r="I140">
        <v>912</v>
      </c>
      <c r="J140">
        <v>1824</v>
      </c>
      <c r="K140" t="str">
        <f>TEXT(Table1[[#This Row],[Date]],"dddd")</f>
        <v>Saturday</v>
      </c>
      <c r="L140" t="str">
        <f>TEXT(Table1[[#This Row],[Date]],"mmm-yyyy")</f>
        <v>Feb-2023</v>
      </c>
      <c r="M140">
        <f>HOUR(Table1[[#This Row],[Time]])</f>
        <v>21</v>
      </c>
    </row>
    <row r="141" spans="1:13" x14ac:dyDescent="0.3">
      <c r="A141">
        <v>1140</v>
      </c>
      <c r="B141" s="3">
        <v>44969.198498750004</v>
      </c>
      <c r="C141" s="1">
        <v>44969.198498750004</v>
      </c>
      <c r="D141" t="s">
        <v>117</v>
      </c>
      <c r="E141" t="s">
        <v>28</v>
      </c>
      <c r="F141" t="s">
        <v>18</v>
      </c>
      <c r="G141" t="s">
        <v>29</v>
      </c>
      <c r="H141">
        <v>5</v>
      </c>
      <c r="I141">
        <v>197</v>
      </c>
      <c r="J141">
        <v>985</v>
      </c>
      <c r="K141" t="str">
        <f>TEXT(Table1[[#This Row],[Date]],"dddd")</f>
        <v>Sunday</v>
      </c>
      <c r="L141" t="str">
        <f>TEXT(Table1[[#This Row],[Date]],"mmm-yyyy")</f>
        <v>Feb-2023</v>
      </c>
      <c r="M141">
        <f>HOUR(Table1[[#This Row],[Time]])</f>
        <v>4</v>
      </c>
    </row>
    <row r="142" spans="1:13" x14ac:dyDescent="0.3">
      <c r="A142">
        <v>1141</v>
      </c>
      <c r="B142" s="3">
        <v>44969.502085069442</v>
      </c>
      <c r="C142" s="1">
        <v>44969.502085069442</v>
      </c>
      <c r="D142" t="s">
        <v>135</v>
      </c>
      <c r="E142" t="s">
        <v>28</v>
      </c>
      <c r="F142" t="s">
        <v>18</v>
      </c>
      <c r="G142" t="s">
        <v>42</v>
      </c>
      <c r="H142">
        <v>1</v>
      </c>
      <c r="I142">
        <v>230</v>
      </c>
      <c r="J142">
        <v>230</v>
      </c>
      <c r="K142" t="str">
        <f>TEXT(Table1[[#This Row],[Date]],"dddd")</f>
        <v>Sunday</v>
      </c>
      <c r="L142" t="str">
        <f>TEXT(Table1[[#This Row],[Date]],"mmm-yyyy")</f>
        <v>Feb-2023</v>
      </c>
      <c r="M142">
        <f>HOUR(Table1[[#This Row],[Time]])</f>
        <v>12</v>
      </c>
    </row>
    <row r="143" spans="1:13" x14ac:dyDescent="0.3">
      <c r="A143">
        <v>1142</v>
      </c>
      <c r="B143" s="3">
        <v>44969.805671388887</v>
      </c>
      <c r="C143" s="1">
        <v>44969.805671388887</v>
      </c>
      <c r="D143" t="s">
        <v>136</v>
      </c>
      <c r="E143" t="s">
        <v>10</v>
      </c>
      <c r="F143" t="s">
        <v>18</v>
      </c>
      <c r="G143" t="s">
        <v>42</v>
      </c>
      <c r="H143">
        <v>5</v>
      </c>
      <c r="I143">
        <v>904</v>
      </c>
      <c r="J143">
        <v>4520</v>
      </c>
      <c r="K143" t="str">
        <f>TEXT(Table1[[#This Row],[Date]],"dddd")</f>
        <v>Sunday</v>
      </c>
      <c r="L143" t="str">
        <f>TEXT(Table1[[#This Row],[Date]],"mmm-yyyy")</f>
        <v>Feb-2023</v>
      </c>
      <c r="M143">
        <f>HOUR(Table1[[#This Row],[Time]])</f>
        <v>19</v>
      </c>
    </row>
    <row r="144" spans="1:13" x14ac:dyDescent="0.3">
      <c r="A144">
        <v>1143</v>
      </c>
      <c r="B144" s="3">
        <v>44970.109257719909</v>
      </c>
      <c r="C144" s="1">
        <v>44970.109257719909</v>
      </c>
      <c r="D144" t="s">
        <v>137</v>
      </c>
      <c r="E144" t="s">
        <v>10</v>
      </c>
      <c r="F144" t="s">
        <v>24</v>
      </c>
      <c r="G144" t="s">
        <v>29</v>
      </c>
      <c r="H144">
        <v>4</v>
      </c>
      <c r="I144">
        <v>270</v>
      </c>
      <c r="J144">
        <v>1080</v>
      </c>
      <c r="K144" t="str">
        <f>TEXT(Table1[[#This Row],[Date]],"dddd")</f>
        <v>Monday</v>
      </c>
      <c r="L144" t="str">
        <f>TEXT(Table1[[#This Row],[Date]],"mmm-yyyy")</f>
        <v>Feb-2023</v>
      </c>
      <c r="M144">
        <f>HOUR(Table1[[#This Row],[Time]])</f>
        <v>2</v>
      </c>
    </row>
    <row r="145" spans="1:13" x14ac:dyDescent="0.3">
      <c r="A145">
        <v>1144</v>
      </c>
      <c r="B145" s="3">
        <v>44970.412844039354</v>
      </c>
      <c r="C145" s="1">
        <v>44970.412844039354</v>
      </c>
      <c r="D145" t="s">
        <v>138</v>
      </c>
      <c r="E145" t="s">
        <v>17</v>
      </c>
      <c r="F145" t="s">
        <v>18</v>
      </c>
      <c r="G145" t="s">
        <v>29</v>
      </c>
      <c r="H145">
        <v>4</v>
      </c>
      <c r="I145">
        <v>282</v>
      </c>
      <c r="J145">
        <v>1128</v>
      </c>
      <c r="K145" t="str">
        <f>TEXT(Table1[[#This Row],[Date]],"dddd")</f>
        <v>Monday</v>
      </c>
      <c r="L145" t="str">
        <f>TEXT(Table1[[#This Row],[Date]],"mmm-yyyy")</f>
        <v>Feb-2023</v>
      </c>
      <c r="M145">
        <f>HOUR(Table1[[#This Row],[Time]])</f>
        <v>9</v>
      </c>
    </row>
    <row r="146" spans="1:13" x14ac:dyDescent="0.3">
      <c r="A146">
        <v>1145</v>
      </c>
      <c r="B146" s="3">
        <v>44970.7164303588</v>
      </c>
      <c r="C146" s="1">
        <v>44970.7164303588</v>
      </c>
      <c r="D146" t="s">
        <v>139</v>
      </c>
      <c r="E146" t="s">
        <v>17</v>
      </c>
      <c r="F146" t="s">
        <v>15</v>
      </c>
      <c r="G146" t="s">
        <v>22</v>
      </c>
      <c r="H146">
        <v>4</v>
      </c>
      <c r="I146">
        <v>463</v>
      </c>
      <c r="J146">
        <v>1852</v>
      </c>
      <c r="K146" t="str">
        <f>TEXT(Table1[[#This Row],[Date]],"dddd")</f>
        <v>Monday</v>
      </c>
      <c r="L146" t="str">
        <f>TEXT(Table1[[#This Row],[Date]],"mmm-yyyy")</f>
        <v>Feb-2023</v>
      </c>
      <c r="M146">
        <f>HOUR(Table1[[#This Row],[Time]])</f>
        <v>17</v>
      </c>
    </row>
    <row r="147" spans="1:13" x14ac:dyDescent="0.3">
      <c r="A147">
        <v>1146</v>
      </c>
      <c r="B147" s="3">
        <v>44971.020016678238</v>
      </c>
      <c r="C147" s="1">
        <v>44971.020016678238</v>
      </c>
      <c r="D147" t="s">
        <v>140</v>
      </c>
      <c r="E147" t="s">
        <v>14</v>
      </c>
      <c r="F147" t="s">
        <v>15</v>
      </c>
      <c r="G147" t="s">
        <v>12</v>
      </c>
      <c r="H147">
        <v>4</v>
      </c>
      <c r="I147">
        <v>138</v>
      </c>
      <c r="J147">
        <v>552</v>
      </c>
      <c r="K147" t="str">
        <f>TEXT(Table1[[#This Row],[Date]],"dddd")</f>
        <v>Tuesday</v>
      </c>
      <c r="L147" t="str">
        <f>TEXT(Table1[[#This Row],[Date]],"mmm-yyyy")</f>
        <v>Feb-2023</v>
      </c>
      <c r="M147">
        <f>HOUR(Table1[[#This Row],[Time]])</f>
        <v>0</v>
      </c>
    </row>
    <row r="148" spans="1:13" x14ac:dyDescent="0.3">
      <c r="A148">
        <v>1147</v>
      </c>
      <c r="B148" s="3">
        <v>44971.323602997683</v>
      </c>
      <c r="C148" s="1">
        <v>44971.323602997683</v>
      </c>
      <c r="D148" t="s">
        <v>141</v>
      </c>
      <c r="E148" t="s">
        <v>14</v>
      </c>
      <c r="F148" t="s">
        <v>39</v>
      </c>
      <c r="G148" t="s">
        <v>56</v>
      </c>
      <c r="H148">
        <v>4</v>
      </c>
      <c r="I148">
        <v>626</v>
      </c>
      <c r="J148">
        <v>2504</v>
      </c>
      <c r="K148" t="str">
        <f>TEXT(Table1[[#This Row],[Date]],"dddd")</f>
        <v>Tuesday</v>
      </c>
      <c r="L148" t="str">
        <f>TEXT(Table1[[#This Row],[Date]],"mmm-yyyy")</f>
        <v>Feb-2023</v>
      </c>
      <c r="M148">
        <f>HOUR(Table1[[#This Row],[Time]])</f>
        <v>7</v>
      </c>
    </row>
    <row r="149" spans="1:13" x14ac:dyDescent="0.3">
      <c r="A149">
        <v>1148</v>
      </c>
      <c r="B149" s="3">
        <v>44971.627189328705</v>
      </c>
      <c r="C149" s="1">
        <v>44971.627189328705</v>
      </c>
      <c r="D149" t="s">
        <v>142</v>
      </c>
      <c r="E149" t="s">
        <v>17</v>
      </c>
      <c r="F149" t="s">
        <v>15</v>
      </c>
      <c r="G149" t="s">
        <v>40</v>
      </c>
      <c r="H149">
        <v>3</v>
      </c>
      <c r="I149">
        <v>987</v>
      </c>
      <c r="J149">
        <v>2961</v>
      </c>
      <c r="K149" t="str">
        <f>TEXT(Table1[[#This Row],[Date]],"dddd")</f>
        <v>Tuesday</v>
      </c>
      <c r="L149" t="str">
        <f>TEXT(Table1[[#This Row],[Date]],"mmm-yyyy")</f>
        <v>Feb-2023</v>
      </c>
      <c r="M149">
        <f>HOUR(Table1[[#This Row],[Time]])</f>
        <v>15</v>
      </c>
    </row>
    <row r="150" spans="1:13" x14ac:dyDescent="0.3">
      <c r="A150">
        <v>1149</v>
      </c>
      <c r="B150" s="3">
        <v>44971.93077564815</v>
      </c>
      <c r="C150" s="1">
        <v>44971.93077564815</v>
      </c>
      <c r="D150" t="s">
        <v>9</v>
      </c>
      <c r="E150" t="s">
        <v>14</v>
      </c>
      <c r="F150" t="s">
        <v>39</v>
      </c>
      <c r="G150" t="s">
        <v>19</v>
      </c>
      <c r="H150">
        <v>2</v>
      </c>
      <c r="I150">
        <v>596</v>
      </c>
      <c r="J150">
        <v>1192</v>
      </c>
      <c r="K150" t="str">
        <f>TEXT(Table1[[#This Row],[Date]],"dddd")</f>
        <v>Tuesday</v>
      </c>
      <c r="L150" t="str">
        <f>TEXT(Table1[[#This Row],[Date]],"mmm-yyyy")</f>
        <v>Feb-2023</v>
      </c>
      <c r="M150">
        <f>HOUR(Table1[[#This Row],[Time]])</f>
        <v>22</v>
      </c>
    </row>
    <row r="151" spans="1:13" x14ac:dyDescent="0.3">
      <c r="A151">
        <v>1150</v>
      </c>
      <c r="B151" s="3">
        <v>44972.234361967596</v>
      </c>
      <c r="C151" s="1">
        <v>44972.234361967596</v>
      </c>
      <c r="D151" t="s">
        <v>70</v>
      </c>
      <c r="E151" t="s">
        <v>28</v>
      </c>
      <c r="F151" t="s">
        <v>15</v>
      </c>
      <c r="G151" t="s">
        <v>33</v>
      </c>
      <c r="H151">
        <v>4</v>
      </c>
      <c r="I151">
        <v>615</v>
      </c>
      <c r="J151">
        <v>2460</v>
      </c>
      <c r="K151" t="str">
        <f>TEXT(Table1[[#This Row],[Date]],"dddd")</f>
        <v>Wednesday</v>
      </c>
      <c r="L151" t="str">
        <f>TEXT(Table1[[#This Row],[Date]],"mmm-yyyy")</f>
        <v>Feb-2023</v>
      </c>
      <c r="M151">
        <f>HOUR(Table1[[#This Row],[Time]])</f>
        <v>5</v>
      </c>
    </row>
    <row r="152" spans="1:13" x14ac:dyDescent="0.3">
      <c r="A152">
        <v>1151</v>
      </c>
      <c r="B152" s="3">
        <v>44972.537948287034</v>
      </c>
      <c r="C152" s="1">
        <v>44972.537948287034</v>
      </c>
      <c r="D152" t="s">
        <v>143</v>
      </c>
      <c r="E152" t="s">
        <v>10</v>
      </c>
      <c r="F152" t="s">
        <v>24</v>
      </c>
      <c r="G152" t="s">
        <v>35</v>
      </c>
      <c r="H152">
        <v>1</v>
      </c>
      <c r="I152">
        <v>448</v>
      </c>
      <c r="J152">
        <v>448</v>
      </c>
      <c r="K152" t="str">
        <f>TEXT(Table1[[#This Row],[Date]],"dddd")</f>
        <v>Wednesday</v>
      </c>
      <c r="L152" t="str">
        <f>TEXT(Table1[[#This Row],[Date]],"mmm-yyyy")</f>
        <v>Feb-2023</v>
      </c>
      <c r="M152">
        <f>HOUR(Table1[[#This Row],[Time]])</f>
        <v>12</v>
      </c>
    </row>
    <row r="153" spans="1:13" x14ac:dyDescent="0.3">
      <c r="A153">
        <v>1152</v>
      </c>
      <c r="B153" s="3">
        <v>44972.841534606479</v>
      </c>
      <c r="C153" s="1">
        <v>44972.841534606479</v>
      </c>
      <c r="D153" t="s">
        <v>144</v>
      </c>
      <c r="E153" t="s">
        <v>17</v>
      </c>
      <c r="F153" t="s">
        <v>39</v>
      </c>
      <c r="G153" t="s">
        <v>12</v>
      </c>
      <c r="H153">
        <v>1</v>
      </c>
      <c r="I153">
        <v>496</v>
      </c>
      <c r="J153">
        <v>496</v>
      </c>
      <c r="K153" t="str">
        <f>TEXT(Table1[[#This Row],[Date]],"dddd")</f>
        <v>Wednesday</v>
      </c>
      <c r="L153" t="str">
        <f>TEXT(Table1[[#This Row],[Date]],"mmm-yyyy")</f>
        <v>Feb-2023</v>
      </c>
      <c r="M153">
        <f>HOUR(Table1[[#This Row],[Time]])</f>
        <v>20</v>
      </c>
    </row>
    <row r="154" spans="1:13" x14ac:dyDescent="0.3">
      <c r="A154">
        <v>1153</v>
      </c>
      <c r="B154" s="3">
        <v>44973.145120937501</v>
      </c>
      <c r="C154" s="1">
        <v>44973.145120937501</v>
      </c>
      <c r="D154" t="s">
        <v>145</v>
      </c>
      <c r="E154" t="s">
        <v>10</v>
      </c>
      <c r="F154" t="s">
        <v>11</v>
      </c>
      <c r="G154" t="s">
        <v>56</v>
      </c>
      <c r="H154">
        <v>1</v>
      </c>
      <c r="I154">
        <v>821</v>
      </c>
      <c r="J154">
        <v>821</v>
      </c>
      <c r="K154" t="str">
        <f>TEXT(Table1[[#This Row],[Date]],"dddd")</f>
        <v>Thursday</v>
      </c>
      <c r="L154" t="str">
        <f>TEXT(Table1[[#This Row],[Date]],"mmm-yyyy")</f>
        <v>Feb-2023</v>
      </c>
      <c r="M154">
        <f>HOUR(Table1[[#This Row],[Time]])</f>
        <v>3</v>
      </c>
    </row>
    <row r="155" spans="1:13" x14ac:dyDescent="0.3">
      <c r="A155">
        <v>1154</v>
      </c>
      <c r="B155" s="3">
        <v>44973.448707256946</v>
      </c>
      <c r="C155" s="1">
        <v>44973.448707256946</v>
      </c>
      <c r="D155" t="s">
        <v>146</v>
      </c>
      <c r="E155" t="s">
        <v>17</v>
      </c>
      <c r="F155" t="s">
        <v>11</v>
      </c>
      <c r="G155" t="s">
        <v>40</v>
      </c>
      <c r="H155">
        <v>1</v>
      </c>
      <c r="I155">
        <v>260</v>
      </c>
      <c r="J155">
        <v>260</v>
      </c>
      <c r="K155" t="str">
        <f>TEXT(Table1[[#This Row],[Date]],"dddd")</f>
        <v>Thursday</v>
      </c>
      <c r="L155" t="str">
        <f>TEXT(Table1[[#This Row],[Date]],"mmm-yyyy")</f>
        <v>Feb-2023</v>
      </c>
      <c r="M155">
        <f>HOUR(Table1[[#This Row],[Time]])</f>
        <v>10</v>
      </c>
    </row>
    <row r="156" spans="1:13" x14ac:dyDescent="0.3">
      <c r="A156">
        <v>1155</v>
      </c>
      <c r="B156" s="3">
        <v>44973.752293576392</v>
      </c>
      <c r="C156" s="1">
        <v>44973.752293576392</v>
      </c>
      <c r="D156" t="s">
        <v>99</v>
      </c>
      <c r="E156" t="s">
        <v>10</v>
      </c>
      <c r="F156" t="s">
        <v>15</v>
      </c>
      <c r="G156" t="s">
        <v>42</v>
      </c>
      <c r="H156">
        <v>3</v>
      </c>
      <c r="I156">
        <v>115</v>
      </c>
      <c r="J156">
        <v>345</v>
      </c>
      <c r="K156" t="str">
        <f>TEXT(Table1[[#This Row],[Date]],"dddd")</f>
        <v>Thursday</v>
      </c>
      <c r="L156" t="str">
        <f>TEXT(Table1[[#This Row],[Date]],"mmm-yyyy")</f>
        <v>Feb-2023</v>
      </c>
      <c r="M156">
        <f>HOUR(Table1[[#This Row],[Time]])</f>
        <v>18</v>
      </c>
    </row>
    <row r="157" spans="1:13" x14ac:dyDescent="0.3">
      <c r="A157">
        <v>1156</v>
      </c>
      <c r="B157" s="3">
        <v>44974.05587989583</v>
      </c>
      <c r="C157" s="1">
        <v>44974.05587989583</v>
      </c>
      <c r="D157" t="s">
        <v>67</v>
      </c>
      <c r="E157" t="s">
        <v>17</v>
      </c>
      <c r="F157" t="s">
        <v>11</v>
      </c>
      <c r="G157" t="s">
        <v>12</v>
      </c>
      <c r="H157">
        <v>1</v>
      </c>
      <c r="I157">
        <v>592</v>
      </c>
      <c r="J157">
        <v>592</v>
      </c>
      <c r="K157" t="str">
        <f>TEXT(Table1[[#This Row],[Date]],"dddd")</f>
        <v>Friday</v>
      </c>
      <c r="L157" t="str">
        <f>TEXT(Table1[[#This Row],[Date]],"mmm-yyyy")</f>
        <v>Feb-2023</v>
      </c>
      <c r="M157">
        <f>HOUR(Table1[[#This Row],[Time]])</f>
        <v>1</v>
      </c>
    </row>
    <row r="158" spans="1:13" x14ac:dyDescent="0.3">
      <c r="A158">
        <v>1157</v>
      </c>
      <c r="B158" s="3">
        <v>44974.359466226852</v>
      </c>
      <c r="C158" s="1">
        <v>44974.359466226852</v>
      </c>
      <c r="D158" t="s">
        <v>147</v>
      </c>
      <c r="E158" t="s">
        <v>10</v>
      </c>
      <c r="F158" t="s">
        <v>15</v>
      </c>
      <c r="G158" t="s">
        <v>12</v>
      </c>
      <c r="H158">
        <v>4</v>
      </c>
      <c r="I158">
        <v>525</v>
      </c>
      <c r="J158">
        <v>2100</v>
      </c>
      <c r="K158" t="str">
        <f>TEXT(Table1[[#This Row],[Date]],"dddd")</f>
        <v>Friday</v>
      </c>
      <c r="L158" t="str">
        <f>TEXT(Table1[[#This Row],[Date]],"mmm-yyyy")</f>
        <v>Feb-2023</v>
      </c>
      <c r="M158">
        <f>HOUR(Table1[[#This Row],[Time]])</f>
        <v>8</v>
      </c>
    </row>
    <row r="159" spans="1:13" x14ac:dyDescent="0.3">
      <c r="A159">
        <v>1158</v>
      </c>
      <c r="B159" s="3">
        <v>44974.663052546297</v>
      </c>
      <c r="C159" s="1">
        <v>44974.663052546297</v>
      </c>
      <c r="D159" t="s">
        <v>148</v>
      </c>
      <c r="E159" t="s">
        <v>28</v>
      </c>
      <c r="F159" t="s">
        <v>15</v>
      </c>
      <c r="G159" t="s">
        <v>25</v>
      </c>
      <c r="H159">
        <v>5</v>
      </c>
      <c r="I159">
        <v>207</v>
      </c>
      <c r="J159">
        <v>1035</v>
      </c>
      <c r="K159" t="str">
        <f>TEXT(Table1[[#This Row],[Date]],"dddd")</f>
        <v>Friday</v>
      </c>
      <c r="L159" t="str">
        <f>TEXT(Table1[[#This Row],[Date]],"mmm-yyyy")</f>
        <v>Feb-2023</v>
      </c>
      <c r="M159">
        <f>HOUR(Table1[[#This Row],[Time]])</f>
        <v>15</v>
      </c>
    </row>
    <row r="160" spans="1:13" x14ac:dyDescent="0.3">
      <c r="A160">
        <v>1159</v>
      </c>
      <c r="B160" s="3">
        <v>44974.966638865742</v>
      </c>
      <c r="C160" s="1">
        <v>44974.966638865742</v>
      </c>
      <c r="D160" t="s">
        <v>73</v>
      </c>
      <c r="E160" t="s">
        <v>17</v>
      </c>
      <c r="F160" t="s">
        <v>11</v>
      </c>
      <c r="G160" t="s">
        <v>33</v>
      </c>
      <c r="H160">
        <v>1</v>
      </c>
      <c r="I160">
        <v>993</v>
      </c>
      <c r="J160">
        <v>993</v>
      </c>
      <c r="K160" t="str">
        <f>TEXT(Table1[[#This Row],[Date]],"dddd")</f>
        <v>Friday</v>
      </c>
      <c r="L160" t="str">
        <f>TEXT(Table1[[#This Row],[Date]],"mmm-yyyy")</f>
        <v>Feb-2023</v>
      </c>
      <c r="M160">
        <f>HOUR(Table1[[#This Row],[Time]])</f>
        <v>23</v>
      </c>
    </row>
    <row r="161" spans="1:13" x14ac:dyDescent="0.3">
      <c r="A161">
        <v>1160</v>
      </c>
      <c r="B161" s="3">
        <v>44975.270225185188</v>
      </c>
      <c r="C161" s="1">
        <v>44975.270225185188</v>
      </c>
      <c r="D161" t="s">
        <v>149</v>
      </c>
      <c r="E161" t="s">
        <v>17</v>
      </c>
      <c r="F161" t="s">
        <v>11</v>
      </c>
      <c r="G161" t="s">
        <v>35</v>
      </c>
      <c r="H161">
        <v>3</v>
      </c>
      <c r="I161">
        <v>549</v>
      </c>
      <c r="J161">
        <v>1647</v>
      </c>
      <c r="K161" t="str">
        <f>TEXT(Table1[[#This Row],[Date]],"dddd")</f>
        <v>Saturday</v>
      </c>
      <c r="L161" t="str">
        <f>TEXT(Table1[[#This Row],[Date]],"mmm-yyyy")</f>
        <v>Feb-2023</v>
      </c>
      <c r="M161">
        <f>HOUR(Table1[[#This Row],[Time]])</f>
        <v>6</v>
      </c>
    </row>
    <row r="162" spans="1:13" x14ac:dyDescent="0.3">
      <c r="A162">
        <v>1161</v>
      </c>
      <c r="B162" s="3">
        <v>44975.573811504626</v>
      </c>
      <c r="C162" s="1">
        <v>44975.573811504626</v>
      </c>
      <c r="D162" t="s">
        <v>150</v>
      </c>
      <c r="E162" t="s">
        <v>17</v>
      </c>
      <c r="F162" t="s">
        <v>18</v>
      </c>
      <c r="G162" t="s">
        <v>33</v>
      </c>
      <c r="H162">
        <v>3</v>
      </c>
      <c r="I162">
        <v>410</v>
      </c>
      <c r="J162">
        <v>1230</v>
      </c>
      <c r="K162" t="str">
        <f>TEXT(Table1[[#This Row],[Date]],"dddd")</f>
        <v>Saturday</v>
      </c>
      <c r="L162" t="str">
        <f>TEXT(Table1[[#This Row],[Date]],"mmm-yyyy")</f>
        <v>Feb-2023</v>
      </c>
      <c r="M162">
        <f>HOUR(Table1[[#This Row],[Time]])</f>
        <v>13</v>
      </c>
    </row>
    <row r="163" spans="1:13" x14ac:dyDescent="0.3">
      <c r="A163">
        <v>1162</v>
      </c>
      <c r="B163" s="3">
        <v>44975.877397835648</v>
      </c>
      <c r="C163" s="1">
        <v>44975.877397835648</v>
      </c>
      <c r="D163" t="s">
        <v>151</v>
      </c>
      <c r="E163" t="s">
        <v>28</v>
      </c>
      <c r="F163" t="s">
        <v>39</v>
      </c>
      <c r="G163" t="s">
        <v>22</v>
      </c>
      <c r="H163">
        <v>1</v>
      </c>
      <c r="I163">
        <v>838</v>
      </c>
      <c r="J163">
        <v>838</v>
      </c>
      <c r="K163" t="str">
        <f>TEXT(Table1[[#This Row],[Date]],"dddd")</f>
        <v>Saturday</v>
      </c>
      <c r="L163" t="str">
        <f>TEXT(Table1[[#This Row],[Date]],"mmm-yyyy")</f>
        <v>Feb-2023</v>
      </c>
      <c r="M163">
        <f>HOUR(Table1[[#This Row],[Time]])</f>
        <v>21</v>
      </c>
    </row>
    <row r="164" spans="1:13" x14ac:dyDescent="0.3">
      <c r="A164">
        <v>1163</v>
      </c>
      <c r="B164" s="3">
        <v>44976.180984155093</v>
      </c>
      <c r="C164" s="1">
        <v>44976.180984155093</v>
      </c>
      <c r="D164" t="s">
        <v>152</v>
      </c>
      <c r="E164" t="s">
        <v>10</v>
      </c>
      <c r="F164" t="s">
        <v>15</v>
      </c>
      <c r="G164" t="s">
        <v>19</v>
      </c>
      <c r="H164">
        <v>5</v>
      </c>
      <c r="I164">
        <v>269</v>
      </c>
      <c r="J164">
        <v>1345</v>
      </c>
      <c r="K164" t="str">
        <f>TEXT(Table1[[#This Row],[Date]],"dddd")</f>
        <v>Sunday</v>
      </c>
      <c r="L164" t="str">
        <f>TEXT(Table1[[#This Row],[Date]],"mmm-yyyy")</f>
        <v>Feb-2023</v>
      </c>
      <c r="M164">
        <f>HOUR(Table1[[#This Row],[Time]])</f>
        <v>4</v>
      </c>
    </row>
    <row r="165" spans="1:13" x14ac:dyDescent="0.3">
      <c r="A165">
        <v>1164</v>
      </c>
      <c r="B165" s="3">
        <v>44976.484570474538</v>
      </c>
      <c r="C165" s="1">
        <v>44976.484570474538</v>
      </c>
      <c r="D165" t="s">
        <v>153</v>
      </c>
      <c r="E165" t="s">
        <v>17</v>
      </c>
      <c r="F165" t="s">
        <v>11</v>
      </c>
      <c r="G165" t="s">
        <v>56</v>
      </c>
      <c r="H165">
        <v>1</v>
      </c>
      <c r="I165">
        <v>645</v>
      </c>
      <c r="J165">
        <v>645</v>
      </c>
      <c r="K165" t="str">
        <f>TEXT(Table1[[#This Row],[Date]],"dddd")</f>
        <v>Sunday</v>
      </c>
      <c r="L165" t="str">
        <f>TEXT(Table1[[#This Row],[Date]],"mmm-yyyy")</f>
        <v>Feb-2023</v>
      </c>
      <c r="M165">
        <f>HOUR(Table1[[#This Row],[Time]])</f>
        <v>11</v>
      </c>
    </row>
    <row r="166" spans="1:13" x14ac:dyDescent="0.3">
      <c r="A166">
        <v>1165</v>
      </c>
      <c r="B166" s="3">
        <v>44976.788156793984</v>
      </c>
      <c r="C166" s="1">
        <v>44976.788156793984</v>
      </c>
      <c r="D166" t="s">
        <v>154</v>
      </c>
      <c r="E166" t="s">
        <v>10</v>
      </c>
      <c r="F166" t="s">
        <v>39</v>
      </c>
      <c r="G166" t="s">
        <v>22</v>
      </c>
      <c r="H166">
        <v>3</v>
      </c>
      <c r="I166">
        <v>513</v>
      </c>
      <c r="J166">
        <v>1539</v>
      </c>
      <c r="K166" t="str">
        <f>TEXT(Table1[[#This Row],[Date]],"dddd")</f>
        <v>Sunday</v>
      </c>
      <c r="L166" t="str">
        <f>TEXT(Table1[[#This Row],[Date]],"mmm-yyyy")</f>
        <v>Feb-2023</v>
      </c>
      <c r="M166">
        <f>HOUR(Table1[[#This Row],[Time]])</f>
        <v>18</v>
      </c>
    </row>
    <row r="167" spans="1:13" x14ac:dyDescent="0.3">
      <c r="A167">
        <v>1166</v>
      </c>
      <c r="B167" s="3">
        <v>44977.091743124998</v>
      </c>
      <c r="C167" s="1">
        <v>44977.091743124998</v>
      </c>
      <c r="D167" t="s">
        <v>61</v>
      </c>
      <c r="E167" t="s">
        <v>28</v>
      </c>
      <c r="F167" t="s">
        <v>11</v>
      </c>
      <c r="G167" t="s">
        <v>25</v>
      </c>
      <c r="H167">
        <v>2</v>
      </c>
      <c r="I167">
        <v>350</v>
      </c>
      <c r="J167">
        <v>700</v>
      </c>
      <c r="K167" t="str">
        <f>TEXT(Table1[[#This Row],[Date]],"dddd")</f>
        <v>Monday</v>
      </c>
      <c r="L167" t="str">
        <f>TEXT(Table1[[#This Row],[Date]],"mmm-yyyy")</f>
        <v>Feb-2023</v>
      </c>
      <c r="M167">
        <f>HOUR(Table1[[#This Row],[Time]])</f>
        <v>2</v>
      </c>
    </row>
    <row r="168" spans="1:13" x14ac:dyDescent="0.3">
      <c r="A168">
        <v>1167</v>
      </c>
      <c r="B168" s="3">
        <v>44977.395329444444</v>
      </c>
      <c r="C168" s="1">
        <v>44977.395329444444</v>
      </c>
      <c r="D168" t="s">
        <v>122</v>
      </c>
      <c r="E168" t="s">
        <v>14</v>
      </c>
      <c r="F168" t="s">
        <v>11</v>
      </c>
      <c r="G168" t="s">
        <v>22</v>
      </c>
      <c r="H168">
        <v>4</v>
      </c>
      <c r="I168">
        <v>858</v>
      </c>
      <c r="J168">
        <v>3432</v>
      </c>
      <c r="K168" t="str">
        <f>TEXT(Table1[[#This Row],[Date]],"dddd")</f>
        <v>Monday</v>
      </c>
      <c r="L168" t="str">
        <f>TEXT(Table1[[#This Row],[Date]],"mmm-yyyy")</f>
        <v>Feb-2023</v>
      </c>
      <c r="M168">
        <f>HOUR(Table1[[#This Row],[Time]])</f>
        <v>9</v>
      </c>
    </row>
    <row r="169" spans="1:13" x14ac:dyDescent="0.3">
      <c r="A169">
        <v>1168</v>
      </c>
      <c r="B169" s="3">
        <v>44977.698915763889</v>
      </c>
      <c r="C169" s="1">
        <v>44977.698915763889</v>
      </c>
      <c r="D169" t="s">
        <v>31</v>
      </c>
      <c r="E169" t="s">
        <v>17</v>
      </c>
      <c r="F169" t="s">
        <v>18</v>
      </c>
      <c r="G169" t="s">
        <v>29</v>
      </c>
      <c r="H169">
        <v>3</v>
      </c>
      <c r="I169">
        <v>880</v>
      </c>
      <c r="J169">
        <v>2640</v>
      </c>
      <c r="K169" t="str">
        <f>TEXT(Table1[[#This Row],[Date]],"dddd")</f>
        <v>Monday</v>
      </c>
      <c r="L169" t="str">
        <f>TEXT(Table1[[#This Row],[Date]],"mmm-yyyy")</f>
        <v>Feb-2023</v>
      </c>
      <c r="M169">
        <f>HOUR(Table1[[#This Row],[Time]])</f>
        <v>16</v>
      </c>
    </row>
    <row r="170" spans="1:13" x14ac:dyDescent="0.3">
      <c r="A170">
        <v>1169</v>
      </c>
      <c r="B170" s="3">
        <v>44978.002502083335</v>
      </c>
      <c r="C170" s="1">
        <v>44978.002502083335</v>
      </c>
      <c r="D170" t="s">
        <v>98</v>
      </c>
      <c r="E170" t="s">
        <v>28</v>
      </c>
      <c r="F170" t="s">
        <v>15</v>
      </c>
      <c r="G170" t="s">
        <v>56</v>
      </c>
      <c r="H170">
        <v>1</v>
      </c>
      <c r="I170">
        <v>240</v>
      </c>
      <c r="J170">
        <v>240</v>
      </c>
      <c r="K170" t="str">
        <f>TEXT(Table1[[#This Row],[Date]],"dddd")</f>
        <v>Tuesday</v>
      </c>
      <c r="L170" t="str">
        <f>TEXT(Table1[[#This Row],[Date]],"mmm-yyyy")</f>
        <v>Feb-2023</v>
      </c>
      <c r="M170">
        <f>HOUR(Table1[[#This Row],[Time]])</f>
        <v>0</v>
      </c>
    </row>
    <row r="171" spans="1:13" x14ac:dyDescent="0.3">
      <c r="A171">
        <v>1170</v>
      </c>
      <c r="B171" s="3">
        <v>44978.30608840278</v>
      </c>
      <c r="C171" s="1">
        <v>44978.30608840278</v>
      </c>
      <c r="D171" t="s">
        <v>137</v>
      </c>
      <c r="E171" t="s">
        <v>10</v>
      </c>
      <c r="F171" t="s">
        <v>15</v>
      </c>
      <c r="G171" t="s">
        <v>19</v>
      </c>
      <c r="H171">
        <v>4</v>
      </c>
      <c r="I171">
        <v>373</v>
      </c>
      <c r="J171">
        <v>1492</v>
      </c>
      <c r="K171" t="str">
        <f>TEXT(Table1[[#This Row],[Date]],"dddd")</f>
        <v>Tuesday</v>
      </c>
      <c r="L171" t="str">
        <f>TEXT(Table1[[#This Row],[Date]],"mmm-yyyy")</f>
        <v>Feb-2023</v>
      </c>
      <c r="M171">
        <f>HOUR(Table1[[#This Row],[Time]])</f>
        <v>7</v>
      </c>
    </row>
    <row r="172" spans="1:13" x14ac:dyDescent="0.3">
      <c r="A172">
        <v>1171</v>
      </c>
      <c r="B172" s="3">
        <v>44978.609674733794</v>
      </c>
      <c r="C172" s="1">
        <v>44978.609674733794</v>
      </c>
      <c r="D172" t="s">
        <v>155</v>
      </c>
      <c r="E172" t="s">
        <v>17</v>
      </c>
      <c r="F172" t="s">
        <v>24</v>
      </c>
      <c r="G172" t="s">
        <v>42</v>
      </c>
      <c r="H172">
        <v>1</v>
      </c>
      <c r="I172">
        <v>515</v>
      </c>
      <c r="J172">
        <v>515</v>
      </c>
      <c r="K172" t="str">
        <f>TEXT(Table1[[#This Row],[Date]],"dddd")</f>
        <v>Tuesday</v>
      </c>
      <c r="L172" t="str">
        <f>TEXT(Table1[[#This Row],[Date]],"mmm-yyyy")</f>
        <v>Feb-2023</v>
      </c>
      <c r="M172">
        <f>HOUR(Table1[[#This Row],[Time]])</f>
        <v>14</v>
      </c>
    </row>
    <row r="173" spans="1:13" x14ac:dyDescent="0.3">
      <c r="A173">
        <v>1172</v>
      </c>
      <c r="B173" s="3">
        <v>44978.91326105324</v>
      </c>
      <c r="C173" s="1">
        <v>44978.91326105324</v>
      </c>
      <c r="D173" t="s">
        <v>156</v>
      </c>
      <c r="E173" t="s">
        <v>10</v>
      </c>
      <c r="F173" t="s">
        <v>18</v>
      </c>
      <c r="G173" t="s">
        <v>29</v>
      </c>
      <c r="H173">
        <v>1</v>
      </c>
      <c r="I173">
        <v>707</v>
      </c>
      <c r="J173">
        <v>707</v>
      </c>
      <c r="K173" t="str">
        <f>TEXT(Table1[[#This Row],[Date]],"dddd")</f>
        <v>Tuesday</v>
      </c>
      <c r="L173" t="str">
        <f>TEXT(Table1[[#This Row],[Date]],"mmm-yyyy")</f>
        <v>Feb-2023</v>
      </c>
      <c r="M173">
        <f>HOUR(Table1[[#This Row],[Time]])</f>
        <v>21</v>
      </c>
    </row>
    <row r="174" spans="1:13" x14ac:dyDescent="0.3">
      <c r="A174">
        <v>1173</v>
      </c>
      <c r="B174" s="3">
        <v>44979.216847372685</v>
      </c>
      <c r="C174" s="1">
        <v>44979.216847372685</v>
      </c>
      <c r="D174" t="s">
        <v>110</v>
      </c>
      <c r="E174" t="s">
        <v>14</v>
      </c>
      <c r="F174" t="s">
        <v>39</v>
      </c>
      <c r="G174" t="s">
        <v>29</v>
      </c>
      <c r="H174">
        <v>2</v>
      </c>
      <c r="I174">
        <v>838</v>
      </c>
      <c r="J174">
        <v>1676</v>
      </c>
      <c r="K174" t="str">
        <f>TEXT(Table1[[#This Row],[Date]],"dddd")</f>
        <v>Wednesday</v>
      </c>
      <c r="L174" t="str">
        <f>TEXT(Table1[[#This Row],[Date]],"mmm-yyyy")</f>
        <v>Feb-2023</v>
      </c>
      <c r="M174">
        <f>HOUR(Table1[[#This Row],[Time]])</f>
        <v>5</v>
      </c>
    </row>
    <row r="175" spans="1:13" x14ac:dyDescent="0.3">
      <c r="A175">
        <v>1174</v>
      </c>
      <c r="B175" s="3">
        <v>44979.520433692131</v>
      </c>
      <c r="C175" s="1">
        <v>44979.520433692131</v>
      </c>
      <c r="D175" t="s">
        <v>135</v>
      </c>
      <c r="E175" t="s">
        <v>17</v>
      </c>
      <c r="F175" t="s">
        <v>18</v>
      </c>
      <c r="G175" t="s">
        <v>56</v>
      </c>
      <c r="H175">
        <v>4</v>
      </c>
      <c r="I175">
        <v>990</v>
      </c>
      <c r="J175">
        <v>3960</v>
      </c>
      <c r="K175" t="str">
        <f>TEXT(Table1[[#This Row],[Date]],"dddd")</f>
        <v>Wednesday</v>
      </c>
      <c r="L175" t="str">
        <f>TEXT(Table1[[#This Row],[Date]],"mmm-yyyy")</f>
        <v>Feb-2023</v>
      </c>
      <c r="M175">
        <f>HOUR(Table1[[#This Row],[Time]])</f>
        <v>12</v>
      </c>
    </row>
    <row r="176" spans="1:13" x14ac:dyDescent="0.3">
      <c r="A176">
        <v>1175</v>
      </c>
      <c r="B176" s="3">
        <v>44979.824020011576</v>
      </c>
      <c r="C176" s="1">
        <v>44979.824020011576</v>
      </c>
      <c r="D176" t="s">
        <v>157</v>
      </c>
      <c r="E176" t="s">
        <v>17</v>
      </c>
      <c r="F176" t="s">
        <v>39</v>
      </c>
      <c r="G176" t="s">
        <v>29</v>
      </c>
      <c r="H176">
        <v>4</v>
      </c>
      <c r="I176">
        <v>138</v>
      </c>
      <c r="J176">
        <v>552</v>
      </c>
      <c r="K176" t="str">
        <f>TEXT(Table1[[#This Row],[Date]],"dddd")</f>
        <v>Wednesday</v>
      </c>
      <c r="L176" t="str">
        <f>TEXT(Table1[[#This Row],[Date]],"mmm-yyyy")</f>
        <v>Feb-2023</v>
      </c>
      <c r="M176">
        <f>HOUR(Table1[[#This Row],[Time]])</f>
        <v>19</v>
      </c>
    </row>
    <row r="177" spans="1:13" x14ac:dyDescent="0.3">
      <c r="A177">
        <v>1176</v>
      </c>
      <c r="B177" s="3">
        <v>44980.12760634259</v>
      </c>
      <c r="C177" s="1">
        <v>44980.12760634259</v>
      </c>
      <c r="D177" t="s">
        <v>158</v>
      </c>
      <c r="E177" t="s">
        <v>10</v>
      </c>
      <c r="F177" t="s">
        <v>15</v>
      </c>
      <c r="G177" t="s">
        <v>42</v>
      </c>
      <c r="H177">
        <v>2</v>
      </c>
      <c r="I177">
        <v>913</v>
      </c>
      <c r="J177">
        <v>1826</v>
      </c>
      <c r="K177" t="str">
        <f>TEXT(Table1[[#This Row],[Date]],"dddd")</f>
        <v>Thursday</v>
      </c>
      <c r="L177" t="str">
        <f>TEXT(Table1[[#This Row],[Date]],"mmm-yyyy")</f>
        <v>Feb-2023</v>
      </c>
      <c r="M177">
        <f>HOUR(Table1[[#This Row],[Time]])</f>
        <v>3</v>
      </c>
    </row>
    <row r="178" spans="1:13" x14ac:dyDescent="0.3">
      <c r="A178">
        <v>1177</v>
      </c>
      <c r="B178" s="3">
        <v>44980.431192662036</v>
      </c>
      <c r="C178" s="1">
        <v>44980.431192662036</v>
      </c>
      <c r="D178" t="s">
        <v>159</v>
      </c>
      <c r="E178" t="s">
        <v>17</v>
      </c>
      <c r="F178" t="s">
        <v>24</v>
      </c>
      <c r="G178" t="s">
        <v>35</v>
      </c>
      <c r="H178">
        <v>3</v>
      </c>
      <c r="I178">
        <v>128</v>
      </c>
      <c r="J178">
        <v>384</v>
      </c>
      <c r="K178" t="str">
        <f>TEXT(Table1[[#This Row],[Date]],"dddd")</f>
        <v>Thursday</v>
      </c>
      <c r="L178" t="str">
        <f>TEXT(Table1[[#This Row],[Date]],"mmm-yyyy")</f>
        <v>Feb-2023</v>
      </c>
      <c r="M178">
        <f>HOUR(Table1[[#This Row],[Time]])</f>
        <v>10</v>
      </c>
    </row>
    <row r="179" spans="1:13" x14ac:dyDescent="0.3">
      <c r="A179">
        <v>1178</v>
      </c>
      <c r="B179" s="3">
        <v>44980.734778981481</v>
      </c>
      <c r="C179" s="1">
        <v>44980.734778981481</v>
      </c>
      <c r="D179" t="s">
        <v>160</v>
      </c>
      <c r="E179" t="s">
        <v>28</v>
      </c>
      <c r="F179" t="s">
        <v>24</v>
      </c>
      <c r="G179" t="s">
        <v>33</v>
      </c>
      <c r="H179">
        <v>1</v>
      </c>
      <c r="I179">
        <v>576</v>
      </c>
      <c r="J179">
        <v>576</v>
      </c>
      <c r="K179" t="str">
        <f>TEXT(Table1[[#This Row],[Date]],"dddd")</f>
        <v>Thursday</v>
      </c>
      <c r="L179" t="str">
        <f>TEXT(Table1[[#This Row],[Date]],"mmm-yyyy")</f>
        <v>Feb-2023</v>
      </c>
      <c r="M179">
        <f>HOUR(Table1[[#This Row],[Time]])</f>
        <v>17</v>
      </c>
    </row>
    <row r="180" spans="1:13" x14ac:dyDescent="0.3">
      <c r="A180">
        <v>1179</v>
      </c>
      <c r="B180" s="3">
        <v>44981.038365300927</v>
      </c>
      <c r="C180" s="1">
        <v>44981.038365300927</v>
      </c>
      <c r="D180" t="s">
        <v>104</v>
      </c>
      <c r="E180" t="s">
        <v>28</v>
      </c>
      <c r="F180" t="s">
        <v>15</v>
      </c>
      <c r="G180" t="s">
        <v>56</v>
      </c>
      <c r="H180">
        <v>5</v>
      </c>
      <c r="I180">
        <v>417</v>
      </c>
      <c r="J180">
        <v>2085</v>
      </c>
      <c r="K180" t="str">
        <f>TEXT(Table1[[#This Row],[Date]],"dddd")</f>
        <v>Friday</v>
      </c>
      <c r="L180" t="str">
        <f>TEXT(Table1[[#This Row],[Date]],"mmm-yyyy")</f>
        <v>Feb-2023</v>
      </c>
      <c r="M180">
        <f>HOUR(Table1[[#This Row],[Time]])</f>
        <v>0</v>
      </c>
    </row>
    <row r="181" spans="1:13" x14ac:dyDescent="0.3">
      <c r="A181">
        <v>1180</v>
      </c>
      <c r="B181" s="3">
        <v>44981.341951631941</v>
      </c>
      <c r="C181" s="1">
        <v>44981.341951631941</v>
      </c>
      <c r="D181" t="s">
        <v>161</v>
      </c>
      <c r="E181" t="s">
        <v>14</v>
      </c>
      <c r="F181" t="s">
        <v>11</v>
      </c>
      <c r="G181" t="s">
        <v>40</v>
      </c>
      <c r="H181">
        <v>1</v>
      </c>
      <c r="I181">
        <v>344</v>
      </c>
      <c r="J181">
        <v>344</v>
      </c>
      <c r="K181" t="str">
        <f>TEXT(Table1[[#This Row],[Date]],"dddd")</f>
        <v>Friday</v>
      </c>
      <c r="L181" t="str">
        <f>TEXT(Table1[[#This Row],[Date]],"mmm-yyyy")</f>
        <v>Feb-2023</v>
      </c>
      <c r="M181">
        <f>HOUR(Table1[[#This Row],[Time]])</f>
        <v>8</v>
      </c>
    </row>
    <row r="182" spans="1:13" x14ac:dyDescent="0.3">
      <c r="A182">
        <v>1181</v>
      </c>
      <c r="B182" s="3">
        <v>44981.645537951386</v>
      </c>
      <c r="C182" s="1">
        <v>44981.645537951386</v>
      </c>
      <c r="D182" t="s">
        <v>118</v>
      </c>
      <c r="E182" t="s">
        <v>28</v>
      </c>
      <c r="F182" t="s">
        <v>18</v>
      </c>
      <c r="G182" t="s">
        <v>22</v>
      </c>
      <c r="H182">
        <v>1</v>
      </c>
      <c r="I182">
        <v>847</v>
      </c>
      <c r="J182">
        <v>847</v>
      </c>
      <c r="K182" t="str">
        <f>TEXT(Table1[[#This Row],[Date]],"dddd")</f>
        <v>Friday</v>
      </c>
      <c r="L182" t="str">
        <f>TEXT(Table1[[#This Row],[Date]],"mmm-yyyy")</f>
        <v>Feb-2023</v>
      </c>
      <c r="M182">
        <f>HOUR(Table1[[#This Row],[Time]])</f>
        <v>15</v>
      </c>
    </row>
    <row r="183" spans="1:13" x14ac:dyDescent="0.3">
      <c r="A183">
        <v>1182</v>
      </c>
      <c r="B183" s="3">
        <v>44981.949124270832</v>
      </c>
      <c r="C183" s="1">
        <v>44981.949124270832</v>
      </c>
      <c r="D183" t="s">
        <v>162</v>
      </c>
      <c r="E183" t="s">
        <v>14</v>
      </c>
      <c r="F183" t="s">
        <v>24</v>
      </c>
      <c r="G183" t="s">
        <v>42</v>
      </c>
      <c r="H183">
        <v>3</v>
      </c>
      <c r="I183">
        <v>796</v>
      </c>
      <c r="J183">
        <v>2388</v>
      </c>
      <c r="K183" t="str">
        <f>TEXT(Table1[[#This Row],[Date]],"dddd")</f>
        <v>Friday</v>
      </c>
      <c r="L183" t="str">
        <f>TEXT(Table1[[#This Row],[Date]],"mmm-yyyy")</f>
        <v>Feb-2023</v>
      </c>
      <c r="M183">
        <f>HOUR(Table1[[#This Row],[Time]])</f>
        <v>22</v>
      </c>
    </row>
    <row r="184" spans="1:13" x14ac:dyDescent="0.3">
      <c r="A184">
        <v>1183</v>
      </c>
      <c r="B184" s="3">
        <v>44982.252710590277</v>
      </c>
      <c r="C184" s="1">
        <v>44982.252710590277</v>
      </c>
      <c r="D184" t="s">
        <v>163</v>
      </c>
      <c r="E184" t="s">
        <v>10</v>
      </c>
      <c r="F184" t="s">
        <v>11</v>
      </c>
      <c r="G184" t="s">
        <v>19</v>
      </c>
      <c r="H184">
        <v>1</v>
      </c>
      <c r="I184">
        <v>371</v>
      </c>
      <c r="J184">
        <v>371</v>
      </c>
      <c r="K184" t="str">
        <f>TEXT(Table1[[#This Row],[Date]],"dddd")</f>
        <v>Saturday</v>
      </c>
      <c r="L184" t="str">
        <f>TEXT(Table1[[#This Row],[Date]],"mmm-yyyy")</f>
        <v>Feb-2023</v>
      </c>
      <c r="M184">
        <f>HOUR(Table1[[#This Row],[Time]])</f>
        <v>6</v>
      </c>
    </row>
    <row r="185" spans="1:13" x14ac:dyDescent="0.3">
      <c r="A185">
        <v>1184</v>
      </c>
      <c r="B185" s="3">
        <v>44982.556296909723</v>
      </c>
      <c r="C185" s="1">
        <v>44982.556296909723</v>
      </c>
      <c r="D185" t="s">
        <v>124</v>
      </c>
      <c r="E185" t="s">
        <v>10</v>
      </c>
      <c r="F185" t="s">
        <v>39</v>
      </c>
      <c r="G185" t="s">
        <v>12</v>
      </c>
      <c r="H185">
        <v>2</v>
      </c>
      <c r="I185">
        <v>539</v>
      </c>
      <c r="J185">
        <v>1078</v>
      </c>
      <c r="K185" t="str">
        <f>TEXT(Table1[[#This Row],[Date]],"dddd")</f>
        <v>Saturday</v>
      </c>
      <c r="L185" t="str">
        <f>TEXT(Table1[[#This Row],[Date]],"mmm-yyyy")</f>
        <v>Feb-2023</v>
      </c>
      <c r="M185">
        <f>HOUR(Table1[[#This Row],[Time]])</f>
        <v>13</v>
      </c>
    </row>
    <row r="186" spans="1:13" x14ac:dyDescent="0.3">
      <c r="A186">
        <v>1185</v>
      </c>
      <c r="B186" s="3">
        <v>44982.859883240744</v>
      </c>
      <c r="C186" s="1">
        <v>44982.859883240744</v>
      </c>
      <c r="D186" t="s">
        <v>93</v>
      </c>
      <c r="E186" t="s">
        <v>14</v>
      </c>
      <c r="F186" t="s">
        <v>24</v>
      </c>
      <c r="G186" t="s">
        <v>33</v>
      </c>
      <c r="H186">
        <v>2</v>
      </c>
      <c r="I186">
        <v>847</v>
      </c>
      <c r="J186">
        <v>1694</v>
      </c>
      <c r="K186" t="str">
        <f>TEXT(Table1[[#This Row],[Date]],"dddd")</f>
        <v>Saturday</v>
      </c>
      <c r="L186" t="str">
        <f>TEXT(Table1[[#This Row],[Date]],"mmm-yyyy")</f>
        <v>Feb-2023</v>
      </c>
      <c r="M186">
        <f>HOUR(Table1[[#This Row],[Time]])</f>
        <v>20</v>
      </c>
    </row>
    <row r="187" spans="1:13" x14ac:dyDescent="0.3">
      <c r="A187">
        <v>1186</v>
      </c>
      <c r="B187" s="3">
        <v>44983.163469560182</v>
      </c>
      <c r="C187" s="1">
        <v>44983.163469560182</v>
      </c>
      <c r="D187" t="s">
        <v>47</v>
      </c>
      <c r="E187" t="s">
        <v>28</v>
      </c>
      <c r="F187" t="s">
        <v>39</v>
      </c>
      <c r="G187" t="s">
        <v>35</v>
      </c>
      <c r="H187">
        <v>4</v>
      </c>
      <c r="I187">
        <v>338</v>
      </c>
      <c r="J187">
        <v>1352</v>
      </c>
      <c r="K187" t="str">
        <f>TEXT(Table1[[#This Row],[Date]],"dddd")</f>
        <v>Sunday</v>
      </c>
      <c r="L187" t="str">
        <f>TEXT(Table1[[#This Row],[Date]],"mmm-yyyy")</f>
        <v>Feb-2023</v>
      </c>
      <c r="M187">
        <f>HOUR(Table1[[#This Row],[Time]])</f>
        <v>3</v>
      </c>
    </row>
    <row r="188" spans="1:13" x14ac:dyDescent="0.3">
      <c r="A188">
        <v>1187</v>
      </c>
      <c r="B188" s="3">
        <v>44983.467055879628</v>
      </c>
      <c r="C188" s="1">
        <v>44983.467055879628</v>
      </c>
      <c r="D188" t="s">
        <v>50</v>
      </c>
      <c r="E188" t="s">
        <v>28</v>
      </c>
      <c r="F188" t="s">
        <v>11</v>
      </c>
      <c r="G188" t="s">
        <v>42</v>
      </c>
      <c r="H188">
        <v>5</v>
      </c>
      <c r="I188">
        <v>476</v>
      </c>
      <c r="J188">
        <v>2380</v>
      </c>
      <c r="K188" t="str">
        <f>TEXT(Table1[[#This Row],[Date]],"dddd")</f>
        <v>Sunday</v>
      </c>
      <c r="L188" t="str">
        <f>TEXT(Table1[[#This Row],[Date]],"mmm-yyyy")</f>
        <v>Feb-2023</v>
      </c>
      <c r="M188">
        <f>HOUR(Table1[[#This Row],[Time]])</f>
        <v>11</v>
      </c>
    </row>
    <row r="189" spans="1:13" x14ac:dyDescent="0.3">
      <c r="A189">
        <v>1188</v>
      </c>
      <c r="B189" s="3">
        <v>44983.770642199073</v>
      </c>
      <c r="C189" s="1">
        <v>44983.770642199073</v>
      </c>
      <c r="D189" t="s">
        <v>85</v>
      </c>
      <c r="E189" t="s">
        <v>14</v>
      </c>
      <c r="F189" t="s">
        <v>39</v>
      </c>
      <c r="G189" t="s">
        <v>35</v>
      </c>
      <c r="H189">
        <v>1</v>
      </c>
      <c r="I189">
        <v>365</v>
      </c>
      <c r="J189">
        <v>365</v>
      </c>
      <c r="K189" t="str">
        <f>TEXT(Table1[[#This Row],[Date]],"dddd")</f>
        <v>Sunday</v>
      </c>
      <c r="L189" t="str">
        <f>TEXT(Table1[[#This Row],[Date]],"mmm-yyyy")</f>
        <v>Feb-2023</v>
      </c>
      <c r="M189">
        <f>HOUR(Table1[[#This Row],[Time]])</f>
        <v>18</v>
      </c>
    </row>
    <row r="190" spans="1:13" x14ac:dyDescent="0.3">
      <c r="A190">
        <v>1189</v>
      </c>
      <c r="B190" s="3">
        <v>44984.074228518519</v>
      </c>
      <c r="C190" s="1">
        <v>44984.074228518519</v>
      </c>
      <c r="D190" t="s">
        <v>164</v>
      </c>
      <c r="E190" t="s">
        <v>14</v>
      </c>
      <c r="F190" t="s">
        <v>11</v>
      </c>
      <c r="G190" t="s">
        <v>42</v>
      </c>
      <c r="H190">
        <v>1</v>
      </c>
      <c r="I190">
        <v>458</v>
      </c>
      <c r="J190">
        <v>458</v>
      </c>
      <c r="K190" t="str">
        <f>TEXT(Table1[[#This Row],[Date]],"dddd")</f>
        <v>Monday</v>
      </c>
      <c r="L190" t="str">
        <f>TEXT(Table1[[#This Row],[Date]],"mmm-yyyy")</f>
        <v>Feb-2023</v>
      </c>
      <c r="M190">
        <f>HOUR(Table1[[#This Row],[Time]])</f>
        <v>1</v>
      </c>
    </row>
    <row r="191" spans="1:13" x14ac:dyDescent="0.3">
      <c r="A191">
        <v>1190</v>
      </c>
      <c r="B191" s="3">
        <v>44984.37781484954</v>
      </c>
      <c r="C191" s="1">
        <v>44984.37781484954</v>
      </c>
      <c r="D191" t="s">
        <v>93</v>
      </c>
      <c r="E191" t="s">
        <v>10</v>
      </c>
      <c r="F191" t="s">
        <v>39</v>
      </c>
      <c r="G191" t="s">
        <v>40</v>
      </c>
      <c r="H191">
        <v>3</v>
      </c>
      <c r="I191">
        <v>439</v>
      </c>
      <c r="J191">
        <v>1317</v>
      </c>
      <c r="K191" t="str">
        <f>TEXT(Table1[[#This Row],[Date]],"dddd")</f>
        <v>Monday</v>
      </c>
      <c r="L191" t="str">
        <f>TEXT(Table1[[#This Row],[Date]],"mmm-yyyy")</f>
        <v>Feb-2023</v>
      </c>
      <c r="M191">
        <f>HOUR(Table1[[#This Row],[Time]])</f>
        <v>9</v>
      </c>
    </row>
    <row r="192" spans="1:13" x14ac:dyDescent="0.3">
      <c r="A192">
        <v>1191</v>
      </c>
      <c r="B192" s="3">
        <v>44984.681401168978</v>
      </c>
      <c r="C192" s="1">
        <v>44984.681401168978</v>
      </c>
      <c r="D192" t="s">
        <v>165</v>
      </c>
      <c r="E192" t="s">
        <v>14</v>
      </c>
      <c r="F192" t="s">
        <v>18</v>
      </c>
      <c r="G192" t="s">
        <v>42</v>
      </c>
      <c r="H192">
        <v>2</v>
      </c>
      <c r="I192">
        <v>488</v>
      </c>
      <c r="J192">
        <v>976</v>
      </c>
      <c r="K192" t="str">
        <f>TEXT(Table1[[#This Row],[Date]],"dddd")</f>
        <v>Monday</v>
      </c>
      <c r="L192" t="str">
        <f>TEXT(Table1[[#This Row],[Date]],"mmm-yyyy")</f>
        <v>Feb-2023</v>
      </c>
      <c r="M192">
        <f>HOUR(Table1[[#This Row],[Time]])</f>
        <v>16</v>
      </c>
    </row>
    <row r="193" spans="1:13" x14ac:dyDescent="0.3">
      <c r="A193">
        <v>1192</v>
      </c>
      <c r="B193" s="3">
        <v>44984.984987488424</v>
      </c>
      <c r="C193" s="1">
        <v>44984.984987488424</v>
      </c>
      <c r="D193" t="s">
        <v>32</v>
      </c>
      <c r="E193" t="s">
        <v>28</v>
      </c>
      <c r="F193" t="s">
        <v>24</v>
      </c>
      <c r="G193" t="s">
        <v>42</v>
      </c>
      <c r="H193">
        <v>5</v>
      </c>
      <c r="I193">
        <v>676</v>
      </c>
      <c r="J193">
        <v>3380</v>
      </c>
      <c r="K193" t="str">
        <f>TEXT(Table1[[#This Row],[Date]],"dddd")</f>
        <v>Monday</v>
      </c>
      <c r="L193" t="str">
        <f>TEXT(Table1[[#This Row],[Date]],"mmm-yyyy")</f>
        <v>Feb-2023</v>
      </c>
      <c r="M193">
        <f>HOUR(Table1[[#This Row],[Time]])</f>
        <v>23</v>
      </c>
    </row>
    <row r="194" spans="1:13" x14ac:dyDescent="0.3">
      <c r="A194">
        <v>1193</v>
      </c>
      <c r="B194" s="3">
        <v>44985.288573807869</v>
      </c>
      <c r="C194" s="1">
        <v>44985.288573807869</v>
      </c>
      <c r="D194" t="s">
        <v>166</v>
      </c>
      <c r="E194" t="s">
        <v>14</v>
      </c>
      <c r="F194" t="s">
        <v>24</v>
      </c>
      <c r="G194" t="s">
        <v>40</v>
      </c>
      <c r="H194">
        <v>4</v>
      </c>
      <c r="I194">
        <v>788</v>
      </c>
      <c r="J194">
        <v>3152</v>
      </c>
      <c r="K194" t="str">
        <f>TEXT(Table1[[#This Row],[Date]],"dddd")</f>
        <v>Tuesday</v>
      </c>
      <c r="L194" t="str">
        <f>TEXT(Table1[[#This Row],[Date]],"mmm-yyyy")</f>
        <v>Feb-2023</v>
      </c>
      <c r="M194">
        <f>HOUR(Table1[[#This Row],[Time]])</f>
        <v>6</v>
      </c>
    </row>
    <row r="195" spans="1:13" x14ac:dyDescent="0.3">
      <c r="A195">
        <v>1194</v>
      </c>
      <c r="B195" s="3">
        <v>44985.592160138891</v>
      </c>
      <c r="C195" s="1">
        <v>44985.592160138891</v>
      </c>
      <c r="D195" t="s">
        <v>85</v>
      </c>
      <c r="E195" t="s">
        <v>14</v>
      </c>
      <c r="F195" t="s">
        <v>11</v>
      </c>
      <c r="G195" t="s">
        <v>19</v>
      </c>
      <c r="H195">
        <v>2</v>
      </c>
      <c r="I195">
        <v>102</v>
      </c>
      <c r="J195">
        <v>204</v>
      </c>
      <c r="K195" t="str">
        <f>TEXT(Table1[[#This Row],[Date]],"dddd")</f>
        <v>Tuesday</v>
      </c>
      <c r="L195" t="str">
        <f>TEXT(Table1[[#This Row],[Date]],"mmm-yyyy")</f>
        <v>Feb-2023</v>
      </c>
      <c r="M195">
        <f>HOUR(Table1[[#This Row],[Time]])</f>
        <v>14</v>
      </c>
    </row>
    <row r="196" spans="1:13" x14ac:dyDescent="0.3">
      <c r="A196">
        <v>1195</v>
      </c>
      <c r="B196" s="3">
        <v>44985.895746458336</v>
      </c>
      <c r="C196" s="1">
        <v>44985.895746458336</v>
      </c>
      <c r="D196" t="s">
        <v>167</v>
      </c>
      <c r="E196" t="s">
        <v>14</v>
      </c>
      <c r="F196" t="s">
        <v>39</v>
      </c>
      <c r="G196" t="s">
        <v>25</v>
      </c>
      <c r="H196">
        <v>4</v>
      </c>
      <c r="I196">
        <v>528</v>
      </c>
      <c r="J196">
        <v>2112</v>
      </c>
      <c r="K196" t="str">
        <f>TEXT(Table1[[#This Row],[Date]],"dddd")</f>
        <v>Tuesday</v>
      </c>
      <c r="L196" t="str">
        <f>TEXT(Table1[[#This Row],[Date]],"mmm-yyyy")</f>
        <v>Feb-2023</v>
      </c>
      <c r="M196">
        <f>HOUR(Table1[[#This Row],[Time]])</f>
        <v>21</v>
      </c>
    </row>
    <row r="197" spans="1:13" x14ac:dyDescent="0.3">
      <c r="A197">
        <v>1196</v>
      </c>
      <c r="B197" s="3">
        <v>44986.199332777775</v>
      </c>
      <c r="C197" s="1">
        <v>44986.199332777775</v>
      </c>
      <c r="D197" t="s">
        <v>168</v>
      </c>
      <c r="E197" t="s">
        <v>10</v>
      </c>
      <c r="F197" t="s">
        <v>15</v>
      </c>
      <c r="G197" t="s">
        <v>19</v>
      </c>
      <c r="H197">
        <v>3</v>
      </c>
      <c r="I197">
        <v>241</v>
      </c>
      <c r="J197">
        <v>723</v>
      </c>
      <c r="K197" t="str">
        <f>TEXT(Table1[[#This Row],[Date]],"dddd")</f>
        <v>Wednesday</v>
      </c>
      <c r="L197" t="str">
        <f>TEXT(Table1[[#This Row],[Date]],"mmm-yyyy")</f>
        <v>Mar-2023</v>
      </c>
      <c r="M197">
        <f>HOUR(Table1[[#This Row],[Time]])</f>
        <v>4</v>
      </c>
    </row>
    <row r="198" spans="1:13" x14ac:dyDescent="0.3">
      <c r="A198">
        <v>1197</v>
      </c>
      <c r="B198" s="3">
        <v>44986.50291909722</v>
      </c>
      <c r="C198" s="1">
        <v>44986.50291909722</v>
      </c>
      <c r="D198" t="s">
        <v>49</v>
      </c>
      <c r="E198" t="s">
        <v>14</v>
      </c>
      <c r="F198" t="s">
        <v>24</v>
      </c>
      <c r="G198" t="s">
        <v>40</v>
      </c>
      <c r="H198">
        <v>3</v>
      </c>
      <c r="I198">
        <v>475</v>
      </c>
      <c r="J198">
        <v>1425</v>
      </c>
      <c r="K198" t="str">
        <f>TEXT(Table1[[#This Row],[Date]],"dddd")</f>
        <v>Wednesday</v>
      </c>
      <c r="L198" t="str">
        <f>TEXT(Table1[[#This Row],[Date]],"mmm-yyyy")</f>
        <v>Mar-2023</v>
      </c>
      <c r="M198">
        <f>HOUR(Table1[[#This Row],[Time]])</f>
        <v>12</v>
      </c>
    </row>
    <row r="199" spans="1:13" x14ac:dyDescent="0.3">
      <c r="A199">
        <v>1198</v>
      </c>
      <c r="B199" s="3">
        <v>44986.806505416665</v>
      </c>
      <c r="C199" s="1">
        <v>44986.806505416665</v>
      </c>
      <c r="D199" t="s">
        <v>148</v>
      </c>
      <c r="E199" t="s">
        <v>17</v>
      </c>
      <c r="F199" t="s">
        <v>39</v>
      </c>
      <c r="G199" t="s">
        <v>33</v>
      </c>
      <c r="H199">
        <v>1</v>
      </c>
      <c r="I199">
        <v>769</v>
      </c>
      <c r="J199">
        <v>769</v>
      </c>
      <c r="K199" t="str">
        <f>TEXT(Table1[[#This Row],[Date]],"dddd")</f>
        <v>Wednesday</v>
      </c>
      <c r="L199" t="str">
        <f>TEXT(Table1[[#This Row],[Date]],"mmm-yyyy")</f>
        <v>Mar-2023</v>
      </c>
      <c r="M199">
        <f>HOUR(Table1[[#This Row],[Time]])</f>
        <v>19</v>
      </c>
    </row>
    <row r="200" spans="1:13" x14ac:dyDescent="0.3">
      <c r="A200">
        <v>1199</v>
      </c>
      <c r="B200" s="3">
        <v>44987.110091747687</v>
      </c>
      <c r="C200" s="1">
        <v>44987.110091747687</v>
      </c>
      <c r="D200" t="s">
        <v>169</v>
      </c>
      <c r="E200" t="s">
        <v>17</v>
      </c>
      <c r="F200" t="s">
        <v>39</v>
      </c>
      <c r="G200" t="s">
        <v>12</v>
      </c>
      <c r="H200">
        <v>5</v>
      </c>
      <c r="I200">
        <v>423</v>
      </c>
      <c r="J200">
        <v>2115</v>
      </c>
      <c r="K200" t="str">
        <f>TEXT(Table1[[#This Row],[Date]],"dddd")</f>
        <v>Thursday</v>
      </c>
      <c r="L200" t="str">
        <f>TEXT(Table1[[#This Row],[Date]],"mmm-yyyy")</f>
        <v>Mar-2023</v>
      </c>
      <c r="M200">
        <f>HOUR(Table1[[#This Row],[Time]])</f>
        <v>2</v>
      </c>
    </row>
    <row r="201" spans="1:13" x14ac:dyDescent="0.3">
      <c r="A201">
        <v>1200</v>
      </c>
      <c r="B201" s="3">
        <v>44987.413678067132</v>
      </c>
      <c r="C201" s="1">
        <v>44987.413678067132</v>
      </c>
      <c r="D201" t="s">
        <v>137</v>
      </c>
      <c r="E201" t="s">
        <v>17</v>
      </c>
      <c r="F201" t="s">
        <v>18</v>
      </c>
      <c r="G201" t="s">
        <v>25</v>
      </c>
      <c r="H201">
        <v>4</v>
      </c>
      <c r="I201">
        <v>245</v>
      </c>
      <c r="J201">
        <v>980</v>
      </c>
      <c r="K201" t="str">
        <f>TEXT(Table1[[#This Row],[Date]],"dddd")</f>
        <v>Thursday</v>
      </c>
      <c r="L201" t="str">
        <f>TEXT(Table1[[#This Row],[Date]],"mmm-yyyy")</f>
        <v>Mar-2023</v>
      </c>
      <c r="M201">
        <f>HOUR(Table1[[#This Row],[Time]])</f>
        <v>9</v>
      </c>
    </row>
    <row r="202" spans="1:13" x14ac:dyDescent="0.3">
      <c r="A202">
        <v>1201</v>
      </c>
      <c r="B202" s="3">
        <v>44987.717264386571</v>
      </c>
      <c r="C202" s="1">
        <v>44987.717264386571</v>
      </c>
      <c r="D202" t="s">
        <v>170</v>
      </c>
      <c r="E202" t="s">
        <v>28</v>
      </c>
      <c r="F202" t="s">
        <v>15</v>
      </c>
      <c r="G202" t="s">
        <v>56</v>
      </c>
      <c r="H202">
        <v>2</v>
      </c>
      <c r="I202">
        <v>392</v>
      </c>
      <c r="J202">
        <v>784</v>
      </c>
      <c r="K202" t="str">
        <f>TEXT(Table1[[#This Row],[Date]],"dddd")</f>
        <v>Thursday</v>
      </c>
      <c r="L202" t="str">
        <f>TEXT(Table1[[#This Row],[Date]],"mmm-yyyy")</f>
        <v>Mar-2023</v>
      </c>
      <c r="M202">
        <f>HOUR(Table1[[#This Row],[Time]])</f>
        <v>17</v>
      </c>
    </row>
    <row r="203" spans="1:13" x14ac:dyDescent="0.3">
      <c r="A203">
        <v>1202</v>
      </c>
      <c r="B203" s="3">
        <v>44988.020850706016</v>
      </c>
      <c r="C203" s="1">
        <v>44988.020850706016</v>
      </c>
      <c r="D203" t="s">
        <v>171</v>
      </c>
      <c r="E203" t="s">
        <v>28</v>
      </c>
      <c r="F203" t="s">
        <v>24</v>
      </c>
      <c r="G203" t="s">
        <v>29</v>
      </c>
      <c r="H203">
        <v>3</v>
      </c>
      <c r="I203">
        <v>764</v>
      </c>
      <c r="J203">
        <v>2292</v>
      </c>
      <c r="K203" t="str">
        <f>TEXT(Table1[[#This Row],[Date]],"dddd")</f>
        <v>Friday</v>
      </c>
      <c r="L203" t="str">
        <f>TEXT(Table1[[#This Row],[Date]],"mmm-yyyy")</f>
        <v>Mar-2023</v>
      </c>
      <c r="M203">
        <f>HOUR(Table1[[#This Row],[Time]])</f>
        <v>0</v>
      </c>
    </row>
    <row r="204" spans="1:13" x14ac:dyDescent="0.3">
      <c r="A204">
        <v>1203</v>
      </c>
      <c r="B204" s="3">
        <v>44988.324437025462</v>
      </c>
      <c r="C204" s="1">
        <v>44988.324437025462</v>
      </c>
      <c r="D204" t="s">
        <v>71</v>
      </c>
      <c r="E204" t="s">
        <v>14</v>
      </c>
      <c r="F204" t="s">
        <v>18</v>
      </c>
      <c r="G204" t="s">
        <v>42</v>
      </c>
      <c r="H204">
        <v>1</v>
      </c>
      <c r="I204">
        <v>531</v>
      </c>
      <c r="J204">
        <v>531</v>
      </c>
      <c r="K204" t="str">
        <f>TEXT(Table1[[#This Row],[Date]],"dddd")</f>
        <v>Friday</v>
      </c>
      <c r="L204" t="str">
        <f>TEXT(Table1[[#This Row],[Date]],"mmm-yyyy")</f>
        <v>Mar-2023</v>
      </c>
      <c r="M204">
        <f>HOUR(Table1[[#This Row],[Time]])</f>
        <v>7</v>
      </c>
    </row>
    <row r="205" spans="1:13" x14ac:dyDescent="0.3">
      <c r="A205">
        <v>1204</v>
      </c>
      <c r="B205" s="3">
        <v>44988.628023356483</v>
      </c>
      <c r="C205" s="1">
        <v>44988.628023356483</v>
      </c>
      <c r="D205" t="s">
        <v>172</v>
      </c>
      <c r="E205" t="s">
        <v>17</v>
      </c>
      <c r="F205" t="s">
        <v>15</v>
      </c>
      <c r="G205" t="s">
        <v>12</v>
      </c>
      <c r="H205">
        <v>1</v>
      </c>
      <c r="I205">
        <v>804</v>
      </c>
      <c r="J205">
        <v>804</v>
      </c>
      <c r="K205" t="str">
        <f>TEXT(Table1[[#This Row],[Date]],"dddd")</f>
        <v>Friday</v>
      </c>
      <c r="L205" t="str">
        <f>TEXT(Table1[[#This Row],[Date]],"mmm-yyyy")</f>
        <v>Mar-2023</v>
      </c>
      <c r="M205">
        <f>HOUR(Table1[[#This Row],[Time]])</f>
        <v>15</v>
      </c>
    </row>
    <row r="206" spans="1:13" x14ac:dyDescent="0.3">
      <c r="A206">
        <v>1205</v>
      </c>
      <c r="B206" s="3">
        <v>44988.931609675928</v>
      </c>
      <c r="C206" s="1">
        <v>44988.931609675928</v>
      </c>
      <c r="D206" t="s">
        <v>173</v>
      </c>
      <c r="E206" t="s">
        <v>10</v>
      </c>
      <c r="F206" t="s">
        <v>24</v>
      </c>
      <c r="G206" t="s">
        <v>19</v>
      </c>
      <c r="H206">
        <v>4</v>
      </c>
      <c r="I206">
        <v>684</v>
      </c>
      <c r="J206">
        <v>2736</v>
      </c>
      <c r="K206" t="str">
        <f>TEXT(Table1[[#This Row],[Date]],"dddd")</f>
        <v>Friday</v>
      </c>
      <c r="L206" t="str">
        <f>TEXT(Table1[[#This Row],[Date]],"mmm-yyyy")</f>
        <v>Mar-2023</v>
      </c>
      <c r="M206">
        <f>HOUR(Table1[[#This Row],[Time]])</f>
        <v>22</v>
      </c>
    </row>
    <row r="207" spans="1:13" x14ac:dyDescent="0.3">
      <c r="A207">
        <v>1206</v>
      </c>
      <c r="B207" s="3">
        <v>44989.235195995374</v>
      </c>
      <c r="C207" s="1">
        <v>44989.235195995374</v>
      </c>
      <c r="D207" t="s">
        <v>172</v>
      </c>
      <c r="E207" t="s">
        <v>17</v>
      </c>
      <c r="F207" t="s">
        <v>18</v>
      </c>
      <c r="G207" t="s">
        <v>40</v>
      </c>
      <c r="H207">
        <v>3</v>
      </c>
      <c r="I207">
        <v>498</v>
      </c>
      <c r="J207">
        <v>1494</v>
      </c>
      <c r="K207" t="str">
        <f>TEXT(Table1[[#This Row],[Date]],"dddd")</f>
        <v>Saturday</v>
      </c>
      <c r="L207" t="str">
        <f>TEXT(Table1[[#This Row],[Date]],"mmm-yyyy")</f>
        <v>Mar-2023</v>
      </c>
      <c r="M207">
        <f>HOUR(Table1[[#This Row],[Time]])</f>
        <v>5</v>
      </c>
    </row>
    <row r="208" spans="1:13" x14ac:dyDescent="0.3">
      <c r="A208">
        <v>1207</v>
      </c>
      <c r="B208" s="3">
        <v>44989.538782314812</v>
      </c>
      <c r="C208" s="1">
        <v>44989.538782314812</v>
      </c>
      <c r="D208" t="s">
        <v>174</v>
      </c>
      <c r="E208" t="s">
        <v>17</v>
      </c>
      <c r="F208" t="s">
        <v>15</v>
      </c>
      <c r="G208" t="s">
        <v>33</v>
      </c>
      <c r="H208">
        <v>5</v>
      </c>
      <c r="I208">
        <v>916</v>
      </c>
      <c r="J208">
        <v>4580</v>
      </c>
      <c r="K208" t="str">
        <f>TEXT(Table1[[#This Row],[Date]],"dddd")</f>
        <v>Saturday</v>
      </c>
      <c r="L208" t="str">
        <f>TEXT(Table1[[#This Row],[Date]],"mmm-yyyy")</f>
        <v>Mar-2023</v>
      </c>
      <c r="M208">
        <f>HOUR(Table1[[#This Row],[Time]])</f>
        <v>12</v>
      </c>
    </row>
    <row r="209" spans="1:13" x14ac:dyDescent="0.3">
      <c r="A209">
        <v>1208</v>
      </c>
      <c r="B209" s="3">
        <v>44989.842368645834</v>
      </c>
      <c r="C209" s="1">
        <v>44989.842368645834</v>
      </c>
      <c r="D209" t="s">
        <v>175</v>
      </c>
      <c r="E209" t="s">
        <v>28</v>
      </c>
      <c r="F209" t="s">
        <v>24</v>
      </c>
      <c r="G209" t="s">
        <v>12</v>
      </c>
      <c r="H209">
        <v>3</v>
      </c>
      <c r="I209">
        <v>988</v>
      </c>
      <c r="J209">
        <v>2964</v>
      </c>
      <c r="K209" t="str">
        <f>TEXT(Table1[[#This Row],[Date]],"dddd")</f>
        <v>Saturday</v>
      </c>
      <c r="L209" t="str">
        <f>TEXT(Table1[[#This Row],[Date]],"mmm-yyyy")</f>
        <v>Mar-2023</v>
      </c>
      <c r="M209">
        <f>HOUR(Table1[[#This Row],[Time]])</f>
        <v>20</v>
      </c>
    </row>
    <row r="210" spans="1:13" x14ac:dyDescent="0.3">
      <c r="A210">
        <v>1209</v>
      </c>
      <c r="B210" s="3">
        <v>44990.145954965279</v>
      </c>
      <c r="C210" s="1">
        <v>44990.145954965279</v>
      </c>
      <c r="D210" t="s">
        <v>176</v>
      </c>
      <c r="E210" t="s">
        <v>28</v>
      </c>
      <c r="F210" t="s">
        <v>15</v>
      </c>
      <c r="G210" t="s">
        <v>35</v>
      </c>
      <c r="H210">
        <v>4</v>
      </c>
      <c r="I210">
        <v>443</v>
      </c>
      <c r="J210">
        <v>1772</v>
      </c>
      <c r="K210" t="str">
        <f>TEXT(Table1[[#This Row],[Date]],"dddd")</f>
        <v>Sunday</v>
      </c>
      <c r="L210" t="str">
        <f>TEXT(Table1[[#This Row],[Date]],"mmm-yyyy")</f>
        <v>Mar-2023</v>
      </c>
      <c r="M210">
        <f>HOUR(Table1[[#This Row],[Time]])</f>
        <v>3</v>
      </c>
    </row>
    <row r="211" spans="1:13" x14ac:dyDescent="0.3">
      <c r="A211">
        <v>1210</v>
      </c>
      <c r="B211" s="3">
        <v>44990.449541284725</v>
      </c>
      <c r="C211" s="1">
        <v>44990.449541284725</v>
      </c>
      <c r="D211" t="s">
        <v>58</v>
      </c>
      <c r="E211" t="s">
        <v>10</v>
      </c>
      <c r="F211" t="s">
        <v>39</v>
      </c>
      <c r="G211" t="s">
        <v>35</v>
      </c>
      <c r="H211">
        <v>4</v>
      </c>
      <c r="I211">
        <v>239</v>
      </c>
      <c r="J211">
        <v>956</v>
      </c>
      <c r="K211" t="str">
        <f>TEXT(Table1[[#This Row],[Date]],"dddd")</f>
        <v>Sunday</v>
      </c>
      <c r="L211" t="str">
        <f>TEXT(Table1[[#This Row],[Date]],"mmm-yyyy")</f>
        <v>Mar-2023</v>
      </c>
      <c r="M211">
        <f>HOUR(Table1[[#This Row],[Time]])</f>
        <v>10</v>
      </c>
    </row>
    <row r="212" spans="1:13" x14ac:dyDescent="0.3">
      <c r="A212">
        <v>1211</v>
      </c>
      <c r="B212" s="3">
        <v>44990.75312760417</v>
      </c>
      <c r="C212" s="1">
        <v>44990.75312760417</v>
      </c>
      <c r="D212" t="s">
        <v>177</v>
      </c>
      <c r="E212" t="s">
        <v>28</v>
      </c>
      <c r="F212" t="s">
        <v>11</v>
      </c>
      <c r="G212" t="s">
        <v>56</v>
      </c>
      <c r="H212">
        <v>3</v>
      </c>
      <c r="I212">
        <v>286</v>
      </c>
      <c r="J212">
        <v>858</v>
      </c>
      <c r="K212" t="str">
        <f>TEXT(Table1[[#This Row],[Date]],"dddd")</f>
        <v>Sunday</v>
      </c>
      <c r="L212" t="str">
        <f>TEXT(Table1[[#This Row],[Date]],"mmm-yyyy")</f>
        <v>Mar-2023</v>
      </c>
      <c r="M212">
        <f>HOUR(Table1[[#This Row],[Time]])</f>
        <v>18</v>
      </c>
    </row>
    <row r="213" spans="1:13" x14ac:dyDescent="0.3">
      <c r="A213">
        <v>1212</v>
      </c>
      <c r="B213" s="3">
        <v>44991.056713923608</v>
      </c>
      <c r="C213" s="1">
        <v>44991.056713923608</v>
      </c>
      <c r="D213" t="s">
        <v>82</v>
      </c>
      <c r="E213" t="s">
        <v>10</v>
      </c>
      <c r="F213" t="s">
        <v>11</v>
      </c>
      <c r="G213" t="s">
        <v>19</v>
      </c>
      <c r="H213">
        <v>4</v>
      </c>
      <c r="I213">
        <v>904</v>
      </c>
      <c r="J213">
        <v>3616</v>
      </c>
      <c r="K213" t="str">
        <f>TEXT(Table1[[#This Row],[Date]],"dddd")</f>
        <v>Monday</v>
      </c>
      <c r="L213" t="str">
        <f>TEXT(Table1[[#This Row],[Date]],"mmm-yyyy")</f>
        <v>Mar-2023</v>
      </c>
      <c r="M213">
        <f>HOUR(Table1[[#This Row],[Time]])</f>
        <v>1</v>
      </c>
    </row>
    <row r="214" spans="1:13" x14ac:dyDescent="0.3">
      <c r="A214">
        <v>1213</v>
      </c>
      <c r="B214" s="3">
        <v>44991.36030025463</v>
      </c>
      <c r="C214" s="1">
        <v>44991.36030025463</v>
      </c>
      <c r="D214" t="s">
        <v>31</v>
      </c>
      <c r="E214" t="s">
        <v>28</v>
      </c>
      <c r="F214" t="s">
        <v>39</v>
      </c>
      <c r="G214" t="s">
        <v>40</v>
      </c>
      <c r="H214">
        <v>3</v>
      </c>
      <c r="I214">
        <v>160</v>
      </c>
      <c r="J214">
        <v>480</v>
      </c>
      <c r="K214" t="str">
        <f>TEXT(Table1[[#This Row],[Date]],"dddd")</f>
        <v>Monday</v>
      </c>
      <c r="L214" t="str">
        <f>TEXT(Table1[[#This Row],[Date]],"mmm-yyyy")</f>
        <v>Mar-2023</v>
      </c>
      <c r="M214">
        <f>HOUR(Table1[[#This Row],[Time]])</f>
        <v>8</v>
      </c>
    </row>
    <row r="215" spans="1:13" x14ac:dyDescent="0.3">
      <c r="A215">
        <v>1214</v>
      </c>
      <c r="B215" s="3">
        <v>44991.663886574075</v>
      </c>
      <c r="C215" s="1">
        <v>44991.663886574075</v>
      </c>
      <c r="D215" t="s">
        <v>178</v>
      </c>
      <c r="E215" t="s">
        <v>17</v>
      </c>
      <c r="F215" t="s">
        <v>15</v>
      </c>
      <c r="G215" t="s">
        <v>33</v>
      </c>
      <c r="H215">
        <v>2</v>
      </c>
      <c r="I215">
        <v>479</v>
      </c>
      <c r="J215">
        <v>958</v>
      </c>
      <c r="K215" t="str">
        <f>TEXT(Table1[[#This Row],[Date]],"dddd")</f>
        <v>Monday</v>
      </c>
      <c r="L215" t="str">
        <f>TEXT(Table1[[#This Row],[Date]],"mmm-yyyy")</f>
        <v>Mar-2023</v>
      </c>
      <c r="M215">
        <f>HOUR(Table1[[#This Row],[Time]])</f>
        <v>15</v>
      </c>
    </row>
    <row r="216" spans="1:13" x14ac:dyDescent="0.3">
      <c r="A216">
        <v>1215</v>
      </c>
      <c r="B216" s="3">
        <v>44991.967472893521</v>
      </c>
      <c r="C216" s="1">
        <v>44991.967472893521</v>
      </c>
      <c r="D216" t="s">
        <v>121</v>
      </c>
      <c r="E216" t="s">
        <v>17</v>
      </c>
      <c r="F216" t="s">
        <v>39</v>
      </c>
      <c r="G216" t="s">
        <v>35</v>
      </c>
      <c r="H216">
        <v>3</v>
      </c>
      <c r="I216">
        <v>809</v>
      </c>
      <c r="J216">
        <v>2427</v>
      </c>
      <c r="K216" t="str">
        <f>TEXT(Table1[[#This Row],[Date]],"dddd")</f>
        <v>Monday</v>
      </c>
      <c r="L216" t="str">
        <f>TEXT(Table1[[#This Row],[Date]],"mmm-yyyy")</f>
        <v>Mar-2023</v>
      </c>
      <c r="M216">
        <f>HOUR(Table1[[#This Row],[Time]])</f>
        <v>23</v>
      </c>
    </row>
    <row r="217" spans="1:13" x14ac:dyDescent="0.3">
      <c r="A217">
        <v>1216</v>
      </c>
      <c r="B217" s="3">
        <v>44992.271059212966</v>
      </c>
      <c r="C217" s="1">
        <v>44992.271059212966</v>
      </c>
      <c r="D217" t="s">
        <v>179</v>
      </c>
      <c r="E217" t="s">
        <v>10</v>
      </c>
      <c r="F217" t="s">
        <v>11</v>
      </c>
      <c r="G217" t="s">
        <v>40</v>
      </c>
      <c r="H217">
        <v>3</v>
      </c>
      <c r="I217">
        <v>906</v>
      </c>
      <c r="J217">
        <v>2718</v>
      </c>
      <c r="K217" t="str">
        <f>TEXT(Table1[[#This Row],[Date]],"dddd")</f>
        <v>Tuesday</v>
      </c>
      <c r="L217" t="str">
        <f>TEXT(Table1[[#This Row],[Date]],"mmm-yyyy")</f>
        <v>Mar-2023</v>
      </c>
      <c r="M217">
        <f>HOUR(Table1[[#This Row],[Time]])</f>
        <v>6</v>
      </c>
    </row>
    <row r="218" spans="1:13" x14ac:dyDescent="0.3">
      <c r="A218">
        <v>1217</v>
      </c>
      <c r="B218" s="3">
        <v>44992.574645532404</v>
      </c>
      <c r="C218" s="1">
        <v>44992.574645532404</v>
      </c>
      <c r="D218" t="s">
        <v>180</v>
      </c>
      <c r="E218" t="s">
        <v>10</v>
      </c>
      <c r="F218" t="s">
        <v>11</v>
      </c>
      <c r="G218" t="s">
        <v>12</v>
      </c>
      <c r="H218">
        <v>4</v>
      </c>
      <c r="I218">
        <v>539</v>
      </c>
      <c r="J218">
        <v>2156</v>
      </c>
      <c r="K218" t="str">
        <f>TEXT(Table1[[#This Row],[Date]],"dddd")</f>
        <v>Tuesday</v>
      </c>
      <c r="L218" t="str">
        <f>TEXT(Table1[[#This Row],[Date]],"mmm-yyyy")</f>
        <v>Mar-2023</v>
      </c>
      <c r="M218">
        <f>HOUR(Table1[[#This Row],[Time]])</f>
        <v>13</v>
      </c>
    </row>
    <row r="219" spans="1:13" x14ac:dyDescent="0.3">
      <c r="A219">
        <v>1218</v>
      </c>
      <c r="B219" s="3">
        <v>44992.878231863426</v>
      </c>
      <c r="C219" s="1">
        <v>44992.878231863426</v>
      </c>
      <c r="D219" t="s">
        <v>181</v>
      </c>
      <c r="E219" t="s">
        <v>28</v>
      </c>
      <c r="F219" t="s">
        <v>15</v>
      </c>
      <c r="G219" t="s">
        <v>40</v>
      </c>
      <c r="H219">
        <v>4</v>
      </c>
      <c r="I219">
        <v>418</v>
      </c>
      <c r="J219">
        <v>1672</v>
      </c>
      <c r="K219" t="str">
        <f>TEXT(Table1[[#This Row],[Date]],"dddd")</f>
        <v>Tuesday</v>
      </c>
      <c r="L219" t="str">
        <f>TEXT(Table1[[#This Row],[Date]],"mmm-yyyy")</f>
        <v>Mar-2023</v>
      </c>
      <c r="M219">
        <f>HOUR(Table1[[#This Row],[Time]])</f>
        <v>21</v>
      </c>
    </row>
    <row r="220" spans="1:13" x14ac:dyDescent="0.3">
      <c r="A220">
        <v>1219</v>
      </c>
      <c r="B220" s="3">
        <v>44993.181818182871</v>
      </c>
      <c r="C220" s="1">
        <v>44993.181818182871</v>
      </c>
      <c r="D220" t="s">
        <v>182</v>
      </c>
      <c r="E220" t="s">
        <v>28</v>
      </c>
      <c r="F220" t="s">
        <v>11</v>
      </c>
      <c r="G220" t="s">
        <v>40</v>
      </c>
      <c r="H220">
        <v>1</v>
      </c>
      <c r="I220">
        <v>401</v>
      </c>
      <c r="J220">
        <v>401</v>
      </c>
      <c r="K220" t="str">
        <f>TEXT(Table1[[#This Row],[Date]],"dddd")</f>
        <v>Wednesday</v>
      </c>
      <c r="L220" t="str">
        <f>TEXT(Table1[[#This Row],[Date]],"mmm-yyyy")</f>
        <v>Mar-2023</v>
      </c>
      <c r="M220">
        <f>HOUR(Table1[[#This Row],[Time]])</f>
        <v>4</v>
      </c>
    </row>
    <row r="221" spans="1:13" x14ac:dyDescent="0.3">
      <c r="A221">
        <v>1220</v>
      </c>
      <c r="B221" s="3">
        <v>44993.485404502317</v>
      </c>
      <c r="C221" s="1">
        <v>44993.485404502317</v>
      </c>
      <c r="D221" t="s">
        <v>162</v>
      </c>
      <c r="E221" t="s">
        <v>10</v>
      </c>
      <c r="F221" t="s">
        <v>39</v>
      </c>
      <c r="G221" t="s">
        <v>25</v>
      </c>
      <c r="H221">
        <v>1</v>
      </c>
      <c r="I221">
        <v>443</v>
      </c>
      <c r="J221">
        <v>443</v>
      </c>
      <c r="K221" t="str">
        <f>TEXT(Table1[[#This Row],[Date]],"dddd")</f>
        <v>Wednesday</v>
      </c>
      <c r="L221" t="str">
        <f>TEXT(Table1[[#This Row],[Date]],"mmm-yyyy")</f>
        <v>Mar-2023</v>
      </c>
      <c r="M221">
        <f>HOUR(Table1[[#This Row],[Time]])</f>
        <v>11</v>
      </c>
    </row>
    <row r="222" spans="1:13" x14ac:dyDescent="0.3">
      <c r="A222">
        <v>1221</v>
      </c>
      <c r="B222" s="3">
        <v>44993.788990821762</v>
      </c>
      <c r="C222" s="1">
        <v>44993.788990821762</v>
      </c>
      <c r="D222" t="s">
        <v>183</v>
      </c>
      <c r="E222" t="s">
        <v>10</v>
      </c>
      <c r="F222" t="s">
        <v>15</v>
      </c>
      <c r="G222" t="s">
        <v>29</v>
      </c>
      <c r="H222">
        <v>2</v>
      </c>
      <c r="I222">
        <v>110</v>
      </c>
      <c r="J222">
        <v>220</v>
      </c>
      <c r="K222" t="str">
        <f>TEXT(Table1[[#This Row],[Date]],"dddd")</f>
        <v>Wednesday</v>
      </c>
      <c r="L222" t="str">
        <f>TEXT(Table1[[#This Row],[Date]],"mmm-yyyy")</f>
        <v>Mar-2023</v>
      </c>
      <c r="M222">
        <f>HOUR(Table1[[#This Row],[Time]])</f>
        <v>18</v>
      </c>
    </row>
    <row r="223" spans="1:13" x14ac:dyDescent="0.3">
      <c r="A223">
        <v>1222</v>
      </c>
      <c r="B223" s="3">
        <v>44994.092577152776</v>
      </c>
      <c r="C223" s="1">
        <v>44994.092577152776</v>
      </c>
      <c r="D223" t="s">
        <v>184</v>
      </c>
      <c r="E223" t="s">
        <v>17</v>
      </c>
      <c r="F223" t="s">
        <v>39</v>
      </c>
      <c r="G223" t="s">
        <v>35</v>
      </c>
      <c r="H223">
        <v>1</v>
      </c>
      <c r="I223">
        <v>161</v>
      </c>
      <c r="J223">
        <v>161</v>
      </c>
      <c r="K223" t="str">
        <f>TEXT(Table1[[#This Row],[Date]],"dddd")</f>
        <v>Thursday</v>
      </c>
      <c r="L223" t="str">
        <f>TEXT(Table1[[#This Row],[Date]],"mmm-yyyy")</f>
        <v>Mar-2023</v>
      </c>
      <c r="M223">
        <f>HOUR(Table1[[#This Row],[Time]])</f>
        <v>2</v>
      </c>
    </row>
    <row r="224" spans="1:13" x14ac:dyDescent="0.3">
      <c r="A224">
        <v>1223</v>
      </c>
      <c r="B224" s="3">
        <v>44994.396163472222</v>
      </c>
      <c r="C224" s="1">
        <v>44994.396163472222</v>
      </c>
      <c r="D224" t="s">
        <v>72</v>
      </c>
      <c r="E224" t="s">
        <v>17</v>
      </c>
      <c r="F224" t="s">
        <v>15</v>
      </c>
      <c r="G224" t="s">
        <v>29</v>
      </c>
      <c r="H224">
        <v>3</v>
      </c>
      <c r="I224">
        <v>944</v>
      </c>
      <c r="J224">
        <v>2832</v>
      </c>
      <c r="K224" t="str">
        <f>TEXT(Table1[[#This Row],[Date]],"dddd")</f>
        <v>Thursday</v>
      </c>
      <c r="L224" t="str">
        <f>TEXT(Table1[[#This Row],[Date]],"mmm-yyyy")</f>
        <v>Mar-2023</v>
      </c>
      <c r="M224">
        <f>HOUR(Table1[[#This Row],[Time]])</f>
        <v>9</v>
      </c>
    </row>
    <row r="225" spans="1:13" x14ac:dyDescent="0.3">
      <c r="A225">
        <v>1224</v>
      </c>
      <c r="B225" s="3">
        <v>44994.699749791667</v>
      </c>
      <c r="C225" s="1">
        <v>44994.699749791667</v>
      </c>
      <c r="D225" t="s">
        <v>175</v>
      </c>
      <c r="E225" t="s">
        <v>10</v>
      </c>
      <c r="F225" t="s">
        <v>11</v>
      </c>
      <c r="G225" t="s">
        <v>12</v>
      </c>
      <c r="H225">
        <v>4</v>
      </c>
      <c r="I225">
        <v>325</v>
      </c>
      <c r="J225">
        <v>1300</v>
      </c>
      <c r="K225" t="str">
        <f>TEXT(Table1[[#This Row],[Date]],"dddd")</f>
        <v>Thursday</v>
      </c>
      <c r="L225" t="str">
        <f>TEXT(Table1[[#This Row],[Date]],"mmm-yyyy")</f>
        <v>Mar-2023</v>
      </c>
      <c r="M225">
        <f>HOUR(Table1[[#This Row],[Time]])</f>
        <v>16</v>
      </c>
    </row>
    <row r="226" spans="1:13" x14ac:dyDescent="0.3">
      <c r="A226">
        <v>1225</v>
      </c>
      <c r="B226" s="3">
        <v>44995.003336111113</v>
      </c>
      <c r="C226" s="1">
        <v>44995.003336111113</v>
      </c>
      <c r="D226" t="s">
        <v>64</v>
      </c>
      <c r="E226" t="s">
        <v>17</v>
      </c>
      <c r="F226" t="s">
        <v>24</v>
      </c>
      <c r="G226" t="s">
        <v>33</v>
      </c>
      <c r="H226">
        <v>1</v>
      </c>
      <c r="I226">
        <v>252</v>
      </c>
      <c r="J226">
        <v>252</v>
      </c>
      <c r="K226" t="str">
        <f>TEXT(Table1[[#This Row],[Date]],"dddd")</f>
        <v>Friday</v>
      </c>
      <c r="L226" t="str">
        <f>TEXT(Table1[[#This Row],[Date]],"mmm-yyyy")</f>
        <v>Mar-2023</v>
      </c>
      <c r="M226">
        <f>HOUR(Table1[[#This Row],[Time]])</f>
        <v>0</v>
      </c>
    </row>
    <row r="227" spans="1:13" x14ac:dyDescent="0.3">
      <c r="A227">
        <v>1226</v>
      </c>
      <c r="B227" s="3">
        <v>44995.306922430558</v>
      </c>
      <c r="C227" s="1">
        <v>44995.306922430558</v>
      </c>
      <c r="D227" t="s">
        <v>48</v>
      </c>
      <c r="E227" t="s">
        <v>14</v>
      </c>
      <c r="F227" t="s">
        <v>15</v>
      </c>
      <c r="G227" t="s">
        <v>29</v>
      </c>
      <c r="H227">
        <v>1</v>
      </c>
      <c r="I227">
        <v>810</v>
      </c>
      <c r="J227">
        <v>810</v>
      </c>
      <c r="K227" t="str">
        <f>TEXT(Table1[[#This Row],[Date]],"dddd")</f>
        <v>Friday</v>
      </c>
      <c r="L227" t="str">
        <f>TEXT(Table1[[#This Row],[Date]],"mmm-yyyy")</f>
        <v>Mar-2023</v>
      </c>
      <c r="M227">
        <f>HOUR(Table1[[#This Row],[Time]])</f>
        <v>7</v>
      </c>
    </row>
    <row r="228" spans="1:13" x14ac:dyDescent="0.3">
      <c r="A228">
        <v>1227</v>
      </c>
      <c r="B228" s="3">
        <v>44995.610508761572</v>
      </c>
      <c r="C228" s="1">
        <v>44995.610508761572</v>
      </c>
      <c r="D228" t="s">
        <v>23</v>
      </c>
      <c r="E228" t="s">
        <v>28</v>
      </c>
      <c r="F228" t="s">
        <v>15</v>
      </c>
      <c r="G228" t="s">
        <v>22</v>
      </c>
      <c r="H228">
        <v>2</v>
      </c>
      <c r="I228">
        <v>663</v>
      </c>
      <c r="J228">
        <v>1326</v>
      </c>
      <c r="K228" t="str">
        <f>TEXT(Table1[[#This Row],[Date]],"dddd")</f>
        <v>Friday</v>
      </c>
      <c r="L228" t="str">
        <f>TEXT(Table1[[#This Row],[Date]],"mmm-yyyy")</f>
        <v>Mar-2023</v>
      </c>
      <c r="M228">
        <f>HOUR(Table1[[#This Row],[Time]])</f>
        <v>14</v>
      </c>
    </row>
    <row r="229" spans="1:13" x14ac:dyDescent="0.3">
      <c r="A229">
        <v>1228</v>
      </c>
      <c r="B229" s="3">
        <v>44995.914095081018</v>
      </c>
      <c r="C229" s="1">
        <v>44995.914095081018</v>
      </c>
      <c r="D229" t="s">
        <v>31</v>
      </c>
      <c r="E229" t="s">
        <v>17</v>
      </c>
      <c r="F229" t="s">
        <v>24</v>
      </c>
      <c r="G229" t="s">
        <v>19</v>
      </c>
      <c r="H229">
        <v>2</v>
      </c>
      <c r="I229">
        <v>871</v>
      </c>
      <c r="J229">
        <v>1742</v>
      </c>
      <c r="K229" t="str">
        <f>TEXT(Table1[[#This Row],[Date]],"dddd")</f>
        <v>Friday</v>
      </c>
      <c r="L229" t="str">
        <f>TEXT(Table1[[#This Row],[Date]],"mmm-yyyy")</f>
        <v>Mar-2023</v>
      </c>
      <c r="M229">
        <f>HOUR(Table1[[#This Row],[Time]])</f>
        <v>21</v>
      </c>
    </row>
    <row r="230" spans="1:13" x14ac:dyDescent="0.3">
      <c r="A230">
        <v>1229</v>
      </c>
      <c r="B230" s="3">
        <v>44996.217681400463</v>
      </c>
      <c r="C230" s="1">
        <v>44996.217681400463</v>
      </c>
      <c r="D230" t="s">
        <v>185</v>
      </c>
      <c r="E230" t="s">
        <v>14</v>
      </c>
      <c r="F230" t="s">
        <v>11</v>
      </c>
      <c r="G230" t="s">
        <v>12</v>
      </c>
      <c r="H230">
        <v>3</v>
      </c>
      <c r="I230">
        <v>670</v>
      </c>
      <c r="J230">
        <v>2010</v>
      </c>
      <c r="K230" t="str">
        <f>TEXT(Table1[[#This Row],[Date]],"dddd")</f>
        <v>Saturday</v>
      </c>
      <c r="L230" t="str">
        <f>TEXT(Table1[[#This Row],[Date]],"mmm-yyyy")</f>
        <v>Mar-2023</v>
      </c>
      <c r="M230">
        <f>HOUR(Table1[[#This Row],[Time]])</f>
        <v>5</v>
      </c>
    </row>
    <row r="231" spans="1:13" x14ac:dyDescent="0.3">
      <c r="A231">
        <v>1230</v>
      </c>
      <c r="B231" s="3">
        <v>44996.521267719909</v>
      </c>
      <c r="C231" s="1">
        <v>44996.521267719909</v>
      </c>
      <c r="D231" t="s">
        <v>49</v>
      </c>
      <c r="E231" t="s">
        <v>10</v>
      </c>
      <c r="F231" t="s">
        <v>39</v>
      </c>
      <c r="G231" t="s">
        <v>56</v>
      </c>
      <c r="H231">
        <v>4</v>
      </c>
      <c r="I231">
        <v>683</v>
      </c>
      <c r="J231">
        <v>2732</v>
      </c>
      <c r="K231" t="str">
        <f>TEXT(Table1[[#This Row],[Date]],"dddd")</f>
        <v>Saturday</v>
      </c>
      <c r="L231" t="str">
        <f>TEXT(Table1[[#This Row],[Date]],"mmm-yyyy")</f>
        <v>Mar-2023</v>
      </c>
      <c r="M231">
        <f>HOUR(Table1[[#This Row],[Time]])</f>
        <v>12</v>
      </c>
    </row>
    <row r="232" spans="1:13" x14ac:dyDescent="0.3">
      <c r="A232">
        <v>1231</v>
      </c>
      <c r="B232" s="3">
        <v>44996.824854039354</v>
      </c>
      <c r="C232" s="1">
        <v>44996.824854039354</v>
      </c>
      <c r="D232" t="s">
        <v>88</v>
      </c>
      <c r="E232" t="s">
        <v>17</v>
      </c>
      <c r="F232" t="s">
        <v>18</v>
      </c>
      <c r="G232" t="s">
        <v>42</v>
      </c>
      <c r="H232">
        <v>2</v>
      </c>
      <c r="I232">
        <v>759</v>
      </c>
      <c r="J232">
        <v>1518</v>
      </c>
      <c r="K232" t="str">
        <f>TEXT(Table1[[#This Row],[Date]],"dddd")</f>
        <v>Saturday</v>
      </c>
      <c r="L232" t="str">
        <f>TEXT(Table1[[#This Row],[Date]],"mmm-yyyy")</f>
        <v>Mar-2023</v>
      </c>
      <c r="M232">
        <f>HOUR(Table1[[#This Row],[Time]])</f>
        <v>19</v>
      </c>
    </row>
    <row r="233" spans="1:13" x14ac:dyDescent="0.3">
      <c r="A233">
        <v>1232</v>
      </c>
      <c r="B233" s="3">
        <v>44997.128440370368</v>
      </c>
      <c r="C233" s="1">
        <v>44997.128440370368</v>
      </c>
      <c r="D233" t="s">
        <v>184</v>
      </c>
      <c r="E233" t="s">
        <v>10</v>
      </c>
      <c r="F233" t="s">
        <v>24</v>
      </c>
      <c r="G233" t="s">
        <v>33</v>
      </c>
      <c r="H233">
        <v>1</v>
      </c>
      <c r="I233">
        <v>960</v>
      </c>
      <c r="J233">
        <v>960</v>
      </c>
      <c r="K233" t="str">
        <f>TEXT(Table1[[#This Row],[Date]],"dddd")</f>
        <v>Sunday</v>
      </c>
      <c r="L233" t="str">
        <f>TEXT(Table1[[#This Row],[Date]],"mmm-yyyy")</f>
        <v>Mar-2023</v>
      </c>
      <c r="M233">
        <f>HOUR(Table1[[#This Row],[Time]])</f>
        <v>3</v>
      </c>
    </row>
    <row r="234" spans="1:13" x14ac:dyDescent="0.3">
      <c r="A234">
        <v>1233</v>
      </c>
      <c r="B234" s="3">
        <v>44997.432026689814</v>
      </c>
      <c r="C234" s="1">
        <v>44997.432026689814</v>
      </c>
      <c r="D234" t="s">
        <v>186</v>
      </c>
      <c r="E234" t="s">
        <v>28</v>
      </c>
      <c r="F234" t="s">
        <v>18</v>
      </c>
      <c r="G234" t="s">
        <v>25</v>
      </c>
      <c r="H234">
        <v>4</v>
      </c>
      <c r="I234">
        <v>674</v>
      </c>
      <c r="J234">
        <v>2696</v>
      </c>
      <c r="K234" t="str">
        <f>TEXT(Table1[[#This Row],[Date]],"dddd")</f>
        <v>Sunday</v>
      </c>
      <c r="L234" t="str">
        <f>TEXT(Table1[[#This Row],[Date]],"mmm-yyyy")</f>
        <v>Mar-2023</v>
      </c>
      <c r="M234">
        <f>HOUR(Table1[[#This Row],[Time]])</f>
        <v>10</v>
      </c>
    </row>
    <row r="235" spans="1:13" x14ac:dyDescent="0.3">
      <c r="A235">
        <v>1234</v>
      </c>
      <c r="B235" s="3">
        <v>44997.735613009259</v>
      </c>
      <c r="C235" s="1">
        <v>44997.735613009259</v>
      </c>
      <c r="D235" t="s">
        <v>187</v>
      </c>
      <c r="E235" t="s">
        <v>10</v>
      </c>
      <c r="F235" t="s">
        <v>11</v>
      </c>
      <c r="G235" t="s">
        <v>29</v>
      </c>
      <c r="H235">
        <v>4</v>
      </c>
      <c r="I235">
        <v>409</v>
      </c>
      <c r="J235">
        <v>1636</v>
      </c>
      <c r="K235" t="str">
        <f>TEXT(Table1[[#This Row],[Date]],"dddd")</f>
        <v>Sunday</v>
      </c>
      <c r="L235" t="str">
        <f>TEXT(Table1[[#This Row],[Date]],"mmm-yyyy")</f>
        <v>Mar-2023</v>
      </c>
      <c r="M235">
        <f>HOUR(Table1[[#This Row],[Time]])</f>
        <v>17</v>
      </c>
    </row>
    <row r="236" spans="1:13" x14ac:dyDescent="0.3">
      <c r="A236">
        <v>1235</v>
      </c>
      <c r="B236" s="3">
        <v>44998.039199328705</v>
      </c>
      <c r="C236" s="1">
        <v>44998.039199328705</v>
      </c>
      <c r="D236" t="s">
        <v>153</v>
      </c>
      <c r="E236" t="s">
        <v>14</v>
      </c>
      <c r="F236" t="s">
        <v>15</v>
      </c>
      <c r="G236" t="s">
        <v>25</v>
      </c>
      <c r="H236">
        <v>1</v>
      </c>
      <c r="I236">
        <v>984</v>
      </c>
      <c r="J236">
        <v>984</v>
      </c>
      <c r="K236" t="str">
        <f>TEXT(Table1[[#This Row],[Date]],"dddd")</f>
        <v>Monday</v>
      </c>
      <c r="L236" t="str">
        <f>TEXT(Table1[[#This Row],[Date]],"mmm-yyyy")</f>
        <v>Mar-2023</v>
      </c>
      <c r="M236">
        <f>HOUR(Table1[[#This Row],[Time]])</f>
        <v>0</v>
      </c>
    </row>
    <row r="237" spans="1:13" x14ac:dyDescent="0.3">
      <c r="A237">
        <v>1236</v>
      </c>
      <c r="B237" s="3">
        <v>44998.342785659719</v>
      </c>
      <c r="C237" s="1">
        <v>44998.342785659719</v>
      </c>
      <c r="D237" t="s">
        <v>180</v>
      </c>
      <c r="E237" t="s">
        <v>10</v>
      </c>
      <c r="F237" t="s">
        <v>15</v>
      </c>
      <c r="G237" t="s">
        <v>22</v>
      </c>
      <c r="H237">
        <v>2</v>
      </c>
      <c r="I237">
        <v>342</v>
      </c>
      <c r="J237">
        <v>684</v>
      </c>
      <c r="K237" t="str">
        <f>TEXT(Table1[[#This Row],[Date]],"dddd")</f>
        <v>Monday</v>
      </c>
      <c r="L237" t="str">
        <f>TEXT(Table1[[#This Row],[Date]],"mmm-yyyy")</f>
        <v>Mar-2023</v>
      </c>
      <c r="M237">
        <f>HOUR(Table1[[#This Row],[Time]])</f>
        <v>8</v>
      </c>
    </row>
    <row r="238" spans="1:13" x14ac:dyDescent="0.3">
      <c r="A238">
        <v>1237</v>
      </c>
      <c r="B238" s="3">
        <v>44998.646371979165</v>
      </c>
      <c r="C238" s="1">
        <v>44998.646371979165</v>
      </c>
      <c r="D238" t="s">
        <v>188</v>
      </c>
      <c r="E238" t="s">
        <v>14</v>
      </c>
      <c r="F238" t="s">
        <v>11</v>
      </c>
      <c r="G238" t="s">
        <v>29</v>
      </c>
      <c r="H238">
        <v>1</v>
      </c>
      <c r="I238">
        <v>592</v>
      </c>
      <c r="J238">
        <v>592</v>
      </c>
      <c r="K238" t="str">
        <f>TEXT(Table1[[#This Row],[Date]],"dddd")</f>
        <v>Monday</v>
      </c>
      <c r="L238" t="str">
        <f>TEXT(Table1[[#This Row],[Date]],"mmm-yyyy")</f>
        <v>Mar-2023</v>
      </c>
      <c r="M238">
        <f>HOUR(Table1[[#This Row],[Time]])</f>
        <v>15</v>
      </c>
    </row>
    <row r="239" spans="1:13" x14ac:dyDescent="0.3">
      <c r="A239">
        <v>1238</v>
      </c>
      <c r="B239" s="3">
        <v>44998.94995829861</v>
      </c>
      <c r="C239" s="1">
        <v>44998.94995829861</v>
      </c>
      <c r="D239" t="s">
        <v>137</v>
      </c>
      <c r="E239" t="s">
        <v>17</v>
      </c>
      <c r="F239" t="s">
        <v>39</v>
      </c>
      <c r="G239" t="s">
        <v>42</v>
      </c>
      <c r="H239">
        <v>4</v>
      </c>
      <c r="I239">
        <v>465</v>
      </c>
      <c r="J239">
        <v>1860</v>
      </c>
      <c r="K239" t="str">
        <f>TEXT(Table1[[#This Row],[Date]],"dddd")</f>
        <v>Monday</v>
      </c>
      <c r="L239" t="str">
        <f>TEXT(Table1[[#This Row],[Date]],"mmm-yyyy")</f>
        <v>Mar-2023</v>
      </c>
      <c r="M239">
        <f>HOUR(Table1[[#This Row],[Time]])</f>
        <v>22</v>
      </c>
    </row>
    <row r="240" spans="1:13" x14ac:dyDescent="0.3">
      <c r="A240">
        <v>1239</v>
      </c>
      <c r="B240" s="3">
        <v>44999.253544618055</v>
      </c>
      <c r="C240" s="1">
        <v>44999.253544618055</v>
      </c>
      <c r="D240" t="s">
        <v>189</v>
      </c>
      <c r="E240" t="s">
        <v>17</v>
      </c>
      <c r="F240" t="s">
        <v>39</v>
      </c>
      <c r="G240" t="s">
        <v>42</v>
      </c>
      <c r="H240">
        <v>5</v>
      </c>
      <c r="I240">
        <v>429</v>
      </c>
      <c r="J240">
        <v>2145</v>
      </c>
      <c r="K240" t="str">
        <f>TEXT(Table1[[#This Row],[Date]],"dddd")</f>
        <v>Tuesday</v>
      </c>
      <c r="L240" t="str">
        <f>TEXT(Table1[[#This Row],[Date]],"mmm-yyyy")</f>
        <v>Mar-2023</v>
      </c>
      <c r="M240">
        <f>HOUR(Table1[[#This Row],[Time]])</f>
        <v>6</v>
      </c>
    </row>
    <row r="241" spans="1:13" x14ac:dyDescent="0.3">
      <c r="A241">
        <v>1240</v>
      </c>
      <c r="B241" s="3">
        <v>44999.557130937501</v>
      </c>
      <c r="C241" s="1">
        <v>44999.557130937501</v>
      </c>
      <c r="D241" t="s">
        <v>36</v>
      </c>
      <c r="E241" t="s">
        <v>14</v>
      </c>
      <c r="F241" t="s">
        <v>11</v>
      </c>
      <c r="G241" t="s">
        <v>40</v>
      </c>
      <c r="H241">
        <v>5</v>
      </c>
      <c r="I241">
        <v>206</v>
      </c>
      <c r="J241">
        <v>1030</v>
      </c>
      <c r="K241" t="str">
        <f>TEXT(Table1[[#This Row],[Date]],"dddd")</f>
        <v>Tuesday</v>
      </c>
      <c r="L241" t="str">
        <f>TEXT(Table1[[#This Row],[Date]],"mmm-yyyy")</f>
        <v>Mar-2023</v>
      </c>
      <c r="M241">
        <f>HOUR(Table1[[#This Row],[Time]])</f>
        <v>13</v>
      </c>
    </row>
    <row r="242" spans="1:13" x14ac:dyDescent="0.3">
      <c r="A242">
        <v>1241</v>
      </c>
      <c r="B242" s="3">
        <v>44999.860717268515</v>
      </c>
      <c r="C242" s="1">
        <v>44999.860717268515</v>
      </c>
      <c r="D242" t="s">
        <v>168</v>
      </c>
      <c r="E242" t="s">
        <v>28</v>
      </c>
      <c r="F242" t="s">
        <v>11</v>
      </c>
      <c r="G242" t="s">
        <v>40</v>
      </c>
      <c r="H242">
        <v>3</v>
      </c>
      <c r="I242">
        <v>325</v>
      </c>
      <c r="J242">
        <v>975</v>
      </c>
      <c r="K242" t="str">
        <f>TEXT(Table1[[#This Row],[Date]],"dddd")</f>
        <v>Tuesday</v>
      </c>
      <c r="L242" t="str">
        <f>TEXT(Table1[[#This Row],[Date]],"mmm-yyyy")</f>
        <v>Mar-2023</v>
      </c>
      <c r="M242">
        <f>HOUR(Table1[[#This Row],[Time]])</f>
        <v>20</v>
      </c>
    </row>
    <row r="243" spans="1:13" x14ac:dyDescent="0.3">
      <c r="A243">
        <v>1242</v>
      </c>
      <c r="B243" s="3">
        <v>45000.164303587961</v>
      </c>
      <c r="C243" s="1">
        <v>45000.164303587961</v>
      </c>
      <c r="D243" t="s">
        <v>190</v>
      </c>
      <c r="E243" t="s">
        <v>28</v>
      </c>
      <c r="F243" t="s">
        <v>11</v>
      </c>
      <c r="G243" t="s">
        <v>35</v>
      </c>
      <c r="H243">
        <v>1</v>
      </c>
      <c r="I243">
        <v>924</v>
      </c>
      <c r="J243">
        <v>924</v>
      </c>
      <c r="K243" t="str">
        <f>TEXT(Table1[[#This Row],[Date]],"dddd")</f>
        <v>Wednesday</v>
      </c>
      <c r="L243" t="str">
        <f>TEXT(Table1[[#This Row],[Date]],"mmm-yyyy")</f>
        <v>Mar-2023</v>
      </c>
      <c r="M243">
        <f>HOUR(Table1[[#This Row],[Time]])</f>
        <v>3</v>
      </c>
    </row>
    <row r="244" spans="1:13" x14ac:dyDescent="0.3">
      <c r="A244">
        <v>1243</v>
      </c>
      <c r="B244" s="3">
        <v>45000.467889907406</v>
      </c>
      <c r="C244" s="1">
        <v>45000.467889907406</v>
      </c>
      <c r="D244" t="s">
        <v>174</v>
      </c>
      <c r="E244" t="s">
        <v>28</v>
      </c>
      <c r="F244" t="s">
        <v>11</v>
      </c>
      <c r="G244" t="s">
        <v>25</v>
      </c>
      <c r="H244">
        <v>1</v>
      </c>
      <c r="I244">
        <v>317</v>
      </c>
      <c r="J244">
        <v>317</v>
      </c>
      <c r="K244" t="str">
        <f>TEXT(Table1[[#This Row],[Date]],"dddd")</f>
        <v>Wednesday</v>
      </c>
      <c r="L244" t="str">
        <f>TEXT(Table1[[#This Row],[Date]],"mmm-yyyy")</f>
        <v>Mar-2023</v>
      </c>
      <c r="M244">
        <f>HOUR(Table1[[#This Row],[Time]])</f>
        <v>11</v>
      </c>
    </row>
    <row r="245" spans="1:13" x14ac:dyDescent="0.3">
      <c r="A245">
        <v>1244</v>
      </c>
      <c r="B245" s="3">
        <v>45000.771476226852</v>
      </c>
      <c r="C245" s="1">
        <v>45000.771476226852</v>
      </c>
      <c r="D245" t="s">
        <v>148</v>
      </c>
      <c r="E245" t="s">
        <v>17</v>
      </c>
      <c r="F245" t="s">
        <v>11</v>
      </c>
      <c r="G245" t="s">
        <v>56</v>
      </c>
      <c r="H245">
        <v>3</v>
      </c>
      <c r="I245">
        <v>852</v>
      </c>
      <c r="J245">
        <v>2556</v>
      </c>
      <c r="K245" t="str">
        <f>TEXT(Table1[[#This Row],[Date]],"dddd")</f>
        <v>Wednesday</v>
      </c>
      <c r="L245" t="str">
        <f>TEXT(Table1[[#This Row],[Date]],"mmm-yyyy")</f>
        <v>Mar-2023</v>
      </c>
      <c r="M245">
        <f>HOUR(Table1[[#This Row],[Time]])</f>
        <v>18</v>
      </c>
    </row>
    <row r="246" spans="1:13" x14ac:dyDescent="0.3">
      <c r="A246">
        <v>1245</v>
      </c>
      <c r="B246" s="3">
        <v>45001.075062557873</v>
      </c>
      <c r="C246" s="1">
        <v>45001.075062557873</v>
      </c>
      <c r="D246" t="s">
        <v>191</v>
      </c>
      <c r="E246" t="s">
        <v>17</v>
      </c>
      <c r="F246" t="s">
        <v>11</v>
      </c>
      <c r="G246" t="s">
        <v>40</v>
      </c>
      <c r="H246">
        <v>3</v>
      </c>
      <c r="I246">
        <v>605</v>
      </c>
      <c r="J246">
        <v>1815</v>
      </c>
      <c r="K246" t="str">
        <f>TEXT(Table1[[#This Row],[Date]],"dddd")</f>
        <v>Thursday</v>
      </c>
      <c r="L246" t="str">
        <f>TEXT(Table1[[#This Row],[Date]],"mmm-yyyy")</f>
        <v>Mar-2023</v>
      </c>
      <c r="M246">
        <f>HOUR(Table1[[#This Row],[Time]])</f>
        <v>1</v>
      </c>
    </row>
    <row r="247" spans="1:13" x14ac:dyDescent="0.3">
      <c r="A247">
        <v>1246</v>
      </c>
      <c r="B247" s="3">
        <v>45001.378648877311</v>
      </c>
      <c r="C247" s="1">
        <v>45001.378648877311</v>
      </c>
      <c r="D247" t="s">
        <v>169</v>
      </c>
      <c r="E247" t="s">
        <v>28</v>
      </c>
      <c r="F247" t="s">
        <v>15</v>
      </c>
      <c r="G247" t="s">
        <v>33</v>
      </c>
      <c r="H247">
        <v>3</v>
      </c>
      <c r="I247">
        <v>358</v>
      </c>
      <c r="J247">
        <v>1074</v>
      </c>
      <c r="K247" t="str">
        <f>TEXT(Table1[[#This Row],[Date]],"dddd")</f>
        <v>Thursday</v>
      </c>
      <c r="L247" t="str">
        <f>TEXT(Table1[[#This Row],[Date]],"mmm-yyyy")</f>
        <v>Mar-2023</v>
      </c>
      <c r="M247">
        <f>HOUR(Table1[[#This Row],[Time]])</f>
        <v>9</v>
      </c>
    </row>
    <row r="248" spans="1:13" x14ac:dyDescent="0.3">
      <c r="A248">
        <v>1247</v>
      </c>
      <c r="B248" s="3">
        <v>45001.682235196757</v>
      </c>
      <c r="C248" s="1">
        <v>45001.682235196757</v>
      </c>
      <c r="D248" t="s">
        <v>95</v>
      </c>
      <c r="E248" t="s">
        <v>10</v>
      </c>
      <c r="F248" t="s">
        <v>18</v>
      </c>
      <c r="G248" t="s">
        <v>40</v>
      </c>
      <c r="H248">
        <v>4</v>
      </c>
      <c r="I248">
        <v>987</v>
      </c>
      <c r="J248">
        <v>3948</v>
      </c>
      <c r="K248" t="str">
        <f>TEXT(Table1[[#This Row],[Date]],"dddd")</f>
        <v>Thursday</v>
      </c>
      <c r="L248" t="str">
        <f>TEXT(Table1[[#This Row],[Date]],"mmm-yyyy")</f>
        <v>Mar-2023</v>
      </c>
      <c r="M248">
        <f>HOUR(Table1[[#This Row],[Time]])</f>
        <v>16</v>
      </c>
    </row>
    <row r="249" spans="1:13" x14ac:dyDescent="0.3">
      <c r="A249">
        <v>1248</v>
      </c>
      <c r="B249" s="3">
        <v>45001.985821516202</v>
      </c>
      <c r="C249" s="1">
        <v>45001.985821516202</v>
      </c>
      <c r="D249" t="s">
        <v>164</v>
      </c>
      <c r="E249" t="s">
        <v>28</v>
      </c>
      <c r="F249" t="s">
        <v>39</v>
      </c>
      <c r="G249" t="s">
        <v>40</v>
      </c>
      <c r="H249">
        <v>1</v>
      </c>
      <c r="I249">
        <v>873</v>
      </c>
      <c r="J249">
        <v>873</v>
      </c>
      <c r="K249" t="str">
        <f>TEXT(Table1[[#This Row],[Date]],"dddd")</f>
        <v>Thursday</v>
      </c>
      <c r="L249" t="str">
        <f>TEXT(Table1[[#This Row],[Date]],"mmm-yyyy")</f>
        <v>Mar-2023</v>
      </c>
      <c r="M249">
        <f>HOUR(Table1[[#This Row],[Time]])</f>
        <v>23</v>
      </c>
    </row>
    <row r="250" spans="1:13" x14ac:dyDescent="0.3">
      <c r="A250">
        <v>1249</v>
      </c>
      <c r="B250" s="3">
        <v>45002.289407835648</v>
      </c>
      <c r="C250" s="1">
        <v>45002.289407835648</v>
      </c>
      <c r="D250" t="s">
        <v>154</v>
      </c>
      <c r="E250" t="s">
        <v>10</v>
      </c>
      <c r="F250" t="s">
        <v>18</v>
      </c>
      <c r="G250" t="s">
        <v>12</v>
      </c>
      <c r="H250">
        <v>4</v>
      </c>
      <c r="I250">
        <v>616</v>
      </c>
      <c r="J250">
        <v>2464</v>
      </c>
      <c r="K250" t="str">
        <f>TEXT(Table1[[#This Row],[Date]],"dddd")</f>
        <v>Friday</v>
      </c>
      <c r="L250" t="str">
        <f>TEXT(Table1[[#This Row],[Date]],"mmm-yyyy")</f>
        <v>Mar-2023</v>
      </c>
      <c r="M250">
        <f>HOUR(Table1[[#This Row],[Time]])</f>
        <v>6</v>
      </c>
    </row>
    <row r="251" spans="1:13" x14ac:dyDescent="0.3">
      <c r="A251">
        <v>1250</v>
      </c>
      <c r="B251" s="3">
        <v>45002.592994166669</v>
      </c>
      <c r="C251" s="1">
        <v>45002.592994166669</v>
      </c>
      <c r="D251" t="s">
        <v>57</v>
      </c>
      <c r="E251" t="s">
        <v>28</v>
      </c>
      <c r="F251" t="s">
        <v>15</v>
      </c>
      <c r="G251" t="s">
        <v>29</v>
      </c>
      <c r="H251">
        <v>3</v>
      </c>
      <c r="I251">
        <v>872</v>
      </c>
      <c r="J251">
        <v>2616</v>
      </c>
      <c r="K251" t="str">
        <f>TEXT(Table1[[#This Row],[Date]],"dddd")</f>
        <v>Friday</v>
      </c>
      <c r="L251" t="str">
        <f>TEXT(Table1[[#This Row],[Date]],"mmm-yyyy")</f>
        <v>Mar-2023</v>
      </c>
      <c r="M251">
        <f>HOUR(Table1[[#This Row],[Time]])</f>
        <v>14</v>
      </c>
    </row>
    <row r="252" spans="1:13" x14ac:dyDescent="0.3">
      <c r="A252">
        <v>1251</v>
      </c>
      <c r="B252" s="3">
        <v>45002.896580486115</v>
      </c>
      <c r="C252" s="1">
        <v>45002.896580486115</v>
      </c>
      <c r="D252" t="s">
        <v>129</v>
      </c>
      <c r="E252" t="s">
        <v>10</v>
      </c>
      <c r="F252" t="s">
        <v>24</v>
      </c>
      <c r="G252" t="s">
        <v>25</v>
      </c>
      <c r="H252">
        <v>1</v>
      </c>
      <c r="I252">
        <v>153</v>
      </c>
      <c r="J252">
        <v>153</v>
      </c>
      <c r="K252" t="str">
        <f>TEXT(Table1[[#This Row],[Date]],"dddd")</f>
        <v>Friday</v>
      </c>
      <c r="L252" t="str">
        <f>TEXT(Table1[[#This Row],[Date]],"mmm-yyyy")</f>
        <v>Mar-2023</v>
      </c>
      <c r="M252">
        <f>HOUR(Table1[[#This Row],[Time]])</f>
        <v>21</v>
      </c>
    </row>
    <row r="253" spans="1:13" x14ac:dyDescent="0.3">
      <c r="A253">
        <v>1252</v>
      </c>
      <c r="B253" s="3">
        <v>45003.200166805553</v>
      </c>
      <c r="C253" s="1">
        <v>45003.200166805553</v>
      </c>
      <c r="D253" t="s">
        <v>192</v>
      </c>
      <c r="E253" t="s">
        <v>17</v>
      </c>
      <c r="F253" t="s">
        <v>18</v>
      </c>
      <c r="G253" t="s">
        <v>12</v>
      </c>
      <c r="H253">
        <v>4</v>
      </c>
      <c r="I253">
        <v>146</v>
      </c>
      <c r="J253">
        <v>584</v>
      </c>
      <c r="K253" t="str">
        <f>TEXT(Table1[[#This Row],[Date]],"dddd")</f>
        <v>Saturday</v>
      </c>
      <c r="L253" t="str">
        <f>TEXT(Table1[[#This Row],[Date]],"mmm-yyyy")</f>
        <v>Mar-2023</v>
      </c>
      <c r="M253">
        <f>HOUR(Table1[[#This Row],[Time]])</f>
        <v>4</v>
      </c>
    </row>
    <row r="254" spans="1:13" x14ac:dyDescent="0.3">
      <c r="A254">
        <v>1253</v>
      </c>
      <c r="B254" s="3">
        <v>45003.503753124998</v>
      </c>
      <c r="C254" s="1">
        <v>45003.503753124998</v>
      </c>
      <c r="D254" t="s">
        <v>61</v>
      </c>
      <c r="E254" t="s">
        <v>28</v>
      </c>
      <c r="F254" t="s">
        <v>24</v>
      </c>
      <c r="G254" t="s">
        <v>12</v>
      </c>
      <c r="H254">
        <v>4</v>
      </c>
      <c r="I254">
        <v>826</v>
      </c>
      <c r="J254">
        <v>3304</v>
      </c>
      <c r="K254" t="str">
        <f>TEXT(Table1[[#This Row],[Date]],"dddd")</f>
        <v>Saturday</v>
      </c>
      <c r="L254" t="str">
        <f>TEXT(Table1[[#This Row],[Date]],"mmm-yyyy")</f>
        <v>Mar-2023</v>
      </c>
      <c r="M254">
        <f>HOUR(Table1[[#This Row],[Time]])</f>
        <v>12</v>
      </c>
    </row>
    <row r="255" spans="1:13" x14ac:dyDescent="0.3">
      <c r="A255">
        <v>1254</v>
      </c>
      <c r="B255" s="3">
        <v>45003.807339444444</v>
      </c>
      <c r="C255" s="1">
        <v>45003.807339444444</v>
      </c>
      <c r="D255" t="s">
        <v>78</v>
      </c>
      <c r="E255" t="s">
        <v>28</v>
      </c>
      <c r="F255" t="s">
        <v>15</v>
      </c>
      <c r="G255" t="s">
        <v>25</v>
      </c>
      <c r="H255">
        <v>3</v>
      </c>
      <c r="I255">
        <v>788</v>
      </c>
      <c r="J255">
        <v>2364</v>
      </c>
      <c r="K255" t="str">
        <f>TEXT(Table1[[#This Row],[Date]],"dddd")</f>
        <v>Saturday</v>
      </c>
      <c r="L255" t="str">
        <f>TEXT(Table1[[#This Row],[Date]],"mmm-yyyy")</f>
        <v>Mar-2023</v>
      </c>
      <c r="M255">
        <f>HOUR(Table1[[#This Row],[Time]])</f>
        <v>19</v>
      </c>
    </row>
    <row r="256" spans="1:13" x14ac:dyDescent="0.3">
      <c r="A256">
        <v>1255</v>
      </c>
      <c r="B256" s="3">
        <v>45004.110925775465</v>
      </c>
      <c r="C256" s="1">
        <v>45004.110925775465</v>
      </c>
      <c r="D256" t="s">
        <v>193</v>
      </c>
      <c r="E256" t="s">
        <v>14</v>
      </c>
      <c r="F256" t="s">
        <v>39</v>
      </c>
      <c r="G256" t="s">
        <v>42</v>
      </c>
      <c r="H256">
        <v>1</v>
      </c>
      <c r="I256">
        <v>620</v>
      </c>
      <c r="J256">
        <v>620</v>
      </c>
      <c r="K256" t="str">
        <f>TEXT(Table1[[#This Row],[Date]],"dddd")</f>
        <v>Sunday</v>
      </c>
      <c r="L256" t="str">
        <f>TEXT(Table1[[#This Row],[Date]],"mmm-yyyy")</f>
        <v>Mar-2023</v>
      </c>
      <c r="M256">
        <f>HOUR(Table1[[#This Row],[Time]])</f>
        <v>2</v>
      </c>
    </row>
    <row r="257" spans="1:13" x14ac:dyDescent="0.3">
      <c r="A257">
        <v>1256</v>
      </c>
      <c r="B257" s="3">
        <v>45004.414512094911</v>
      </c>
      <c r="C257" s="1">
        <v>45004.414512094911</v>
      </c>
      <c r="D257" t="s">
        <v>31</v>
      </c>
      <c r="E257" t="s">
        <v>28</v>
      </c>
      <c r="F257" t="s">
        <v>24</v>
      </c>
      <c r="G257" t="s">
        <v>40</v>
      </c>
      <c r="H257">
        <v>3</v>
      </c>
      <c r="I257">
        <v>198</v>
      </c>
      <c r="J257">
        <v>594</v>
      </c>
      <c r="K257" t="str">
        <f>TEXT(Table1[[#This Row],[Date]],"dddd")</f>
        <v>Sunday</v>
      </c>
      <c r="L257" t="str">
        <f>TEXT(Table1[[#This Row],[Date]],"mmm-yyyy")</f>
        <v>Mar-2023</v>
      </c>
      <c r="M257">
        <f>HOUR(Table1[[#This Row],[Time]])</f>
        <v>9</v>
      </c>
    </row>
    <row r="258" spans="1:13" x14ac:dyDescent="0.3">
      <c r="A258">
        <v>1257</v>
      </c>
      <c r="B258" s="3">
        <v>45004.718098414349</v>
      </c>
      <c r="C258" s="1">
        <v>45004.718098414349</v>
      </c>
      <c r="D258" t="s">
        <v>194</v>
      </c>
      <c r="E258" t="s">
        <v>10</v>
      </c>
      <c r="F258" t="s">
        <v>15</v>
      </c>
      <c r="G258" t="s">
        <v>56</v>
      </c>
      <c r="H258">
        <v>1</v>
      </c>
      <c r="I258">
        <v>119</v>
      </c>
      <c r="J258">
        <v>119</v>
      </c>
      <c r="K258" t="str">
        <f>TEXT(Table1[[#This Row],[Date]],"dddd")</f>
        <v>Sunday</v>
      </c>
      <c r="L258" t="str">
        <f>TEXT(Table1[[#This Row],[Date]],"mmm-yyyy")</f>
        <v>Mar-2023</v>
      </c>
      <c r="M258">
        <f>HOUR(Table1[[#This Row],[Time]])</f>
        <v>17</v>
      </c>
    </row>
    <row r="259" spans="1:13" x14ac:dyDescent="0.3">
      <c r="A259">
        <v>1258</v>
      </c>
      <c r="B259" s="3">
        <v>45005.021684733794</v>
      </c>
      <c r="C259" s="1">
        <v>45005.021684733794</v>
      </c>
      <c r="D259" t="s">
        <v>195</v>
      </c>
      <c r="E259" t="s">
        <v>14</v>
      </c>
      <c r="F259" t="s">
        <v>11</v>
      </c>
      <c r="G259" t="s">
        <v>42</v>
      </c>
      <c r="H259">
        <v>5</v>
      </c>
      <c r="I259">
        <v>989</v>
      </c>
      <c r="J259">
        <v>4945</v>
      </c>
      <c r="K259" t="str">
        <f>TEXT(Table1[[#This Row],[Date]],"dddd")</f>
        <v>Monday</v>
      </c>
      <c r="L259" t="str">
        <f>TEXT(Table1[[#This Row],[Date]],"mmm-yyyy")</f>
        <v>Mar-2023</v>
      </c>
      <c r="M259">
        <f>HOUR(Table1[[#This Row],[Time]])</f>
        <v>0</v>
      </c>
    </row>
    <row r="260" spans="1:13" x14ac:dyDescent="0.3">
      <c r="A260">
        <v>1259</v>
      </c>
      <c r="B260" s="3">
        <v>45005.325271064816</v>
      </c>
      <c r="C260" s="1">
        <v>45005.325271064816</v>
      </c>
      <c r="D260" t="s">
        <v>53</v>
      </c>
      <c r="E260" t="s">
        <v>28</v>
      </c>
      <c r="F260" t="s">
        <v>39</v>
      </c>
      <c r="G260" t="s">
        <v>12</v>
      </c>
      <c r="H260">
        <v>2</v>
      </c>
      <c r="I260">
        <v>852</v>
      </c>
      <c r="J260">
        <v>1704</v>
      </c>
      <c r="K260" t="str">
        <f>TEXT(Table1[[#This Row],[Date]],"dddd")</f>
        <v>Monday</v>
      </c>
      <c r="L260" t="str">
        <f>TEXT(Table1[[#This Row],[Date]],"mmm-yyyy")</f>
        <v>Mar-2023</v>
      </c>
      <c r="M260">
        <f>HOUR(Table1[[#This Row],[Time]])</f>
        <v>7</v>
      </c>
    </row>
    <row r="261" spans="1:13" x14ac:dyDescent="0.3">
      <c r="A261">
        <v>1260</v>
      </c>
      <c r="B261" s="3">
        <v>45005.628857384261</v>
      </c>
      <c r="C261" s="1">
        <v>45005.628857384261</v>
      </c>
      <c r="D261" t="s">
        <v>175</v>
      </c>
      <c r="E261" t="s">
        <v>28</v>
      </c>
      <c r="F261" t="s">
        <v>11</v>
      </c>
      <c r="G261" t="s">
        <v>22</v>
      </c>
      <c r="H261">
        <v>2</v>
      </c>
      <c r="I261">
        <v>672</v>
      </c>
      <c r="J261">
        <v>1344</v>
      </c>
      <c r="K261" t="str">
        <f>TEXT(Table1[[#This Row],[Date]],"dddd")</f>
        <v>Monday</v>
      </c>
      <c r="L261" t="str">
        <f>TEXT(Table1[[#This Row],[Date]],"mmm-yyyy")</f>
        <v>Mar-2023</v>
      </c>
      <c r="M261">
        <f>HOUR(Table1[[#This Row],[Time]])</f>
        <v>15</v>
      </c>
    </row>
    <row r="262" spans="1:13" x14ac:dyDescent="0.3">
      <c r="A262">
        <v>1261</v>
      </c>
      <c r="B262" s="3">
        <v>45005.932443703707</v>
      </c>
      <c r="C262" s="1">
        <v>45005.932443703707</v>
      </c>
      <c r="D262" t="s">
        <v>196</v>
      </c>
      <c r="E262" t="s">
        <v>17</v>
      </c>
      <c r="F262" t="s">
        <v>39</v>
      </c>
      <c r="G262" t="s">
        <v>22</v>
      </c>
      <c r="H262">
        <v>2</v>
      </c>
      <c r="I262">
        <v>990</v>
      </c>
      <c r="J262">
        <v>1980</v>
      </c>
      <c r="K262" t="str">
        <f>TEXT(Table1[[#This Row],[Date]],"dddd")</f>
        <v>Monday</v>
      </c>
      <c r="L262" t="str">
        <f>TEXT(Table1[[#This Row],[Date]],"mmm-yyyy")</f>
        <v>Mar-2023</v>
      </c>
      <c r="M262">
        <f>HOUR(Table1[[#This Row],[Time]])</f>
        <v>22</v>
      </c>
    </row>
    <row r="263" spans="1:13" x14ac:dyDescent="0.3">
      <c r="A263">
        <v>1262</v>
      </c>
      <c r="B263" s="3">
        <v>45006.236030023145</v>
      </c>
      <c r="C263" s="1">
        <v>45006.236030023145</v>
      </c>
      <c r="D263" t="s">
        <v>37</v>
      </c>
      <c r="E263" t="s">
        <v>14</v>
      </c>
      <c r="F263" t="s">
        <v>39</v>
      </c>
      <c r="G263" t="s">
        <v>19</v>
      </c>
      <c r="H263">
        <v>3</v>
      </c>
      <c r="I263">
        <v>589</v>
      </c>
      <c r="J263">
        <v>1767</v>
      </c>
      <c r="K263" t="str">
        <f>TEXT(Table1[[#This Row],[Date]],"dddd")</f>
        <v>Tuesday</v>
      </c>
      <c r="L263" t="str">
        <f>TEXT(Table1[[#This Row],[Date]],"mmm-yyyy")</f>
        <v>Mar-2023</v>
      </c>
      <c r="M263">
        <f>HOUR(Table1[[#This Row],[Time]])</f>
        <v>5</v>
      </c>
    </row>
    <row r="264" spans="1:13" x14ac:dyDescent="0.3">
      <c r="A264">
        <v>1263</v>
      </c>
      <c r="B264" s="3">
        <v>45006.53961634259</v>
      </c>
      <c r="C264" s="1">
        <v>45006.53961634259</v>
      </c>
      <c r="D264" t="s">
        <v>145</v>
      </c>
      <c r="E264" t="s">
        <v>10</v>
      </c>
      <c r="F264" t="s">
        <v>18</v>
      </c>
      <c r="G264" t="s">
        <v>40</v>
      </c>
      <c r="H264">
        <v>5</v>
      </c>
      <c r="I264">
        <v>518</v>
      </c>
      <c r="J264">
        <v>2590</v>
      </c>
      <c r="K264" t="str">
        <f>TEXT(Table1[[#This Row],[Date]],"dddd")</f>
        <v>Tuesday</v>
      </c>
      <c r="L264" t="str">
        <f>TEXT(Table1[[#This Row],[Date]],"mmm-yyyy")</f>
        <v>Mar-2023</v>
      </c>
      <c r="M264">
        <f>HOUR(Table1[[#This Row],[Time]])</f>
        <v>12</v>
      </c>
    </row>
    <row r="265" spans="1:13" x14ac:dyDescent="0.3">
      <c r="A265">
        <v>1264</v>
      </c>
      <c r="B265" s="3">
        <v>45006.843202673612</v>
      </c>
      <c r="C265" s="1">
        <v>45006.843202673612</v>
      </c>
      <c r="D265" t="s">
        <v>197</v>
      </c>
      <c r="E265" t="s">
        <v>28</v>
      </c>
      <c r="F265" t="s">
        <v>39</v>
      </c>
      <c r="G265" t="s">
        <v>40</v>
      </c>
      <c r="H265">
        <v>1</v>
      </c>
      <c r="I265">
        <v>789</v>
      </c>
      <c r="J265">
        <v>789</v>
      </c>
      <c r="K265" t="str">
        <f>TEXT(Table1[[#This Row],[Date]],"dddd")</f>
        <v>Tuesday</v>
      </c>
      <c r="L265" t="str">
        <f>TEXT(Table1[[#This Row],[Date]],"mmm-yyyy")</f>
        <v>Mar-2023</v>
      </c>
      <c r="M265">
        <f>HOUR(Table1[[#This Row],[Time]])</f>
        <v>20</v>
      </c>
    </row>
    <row r="266" spans="1:13" x14ac:dyDescent="0.3">
      <c r="A266">
        <v>1265</v>
      </c>
      <c r="B266" s="3">
        <v>45007.146788993057</v>
      </c>
      <c r="C266" s="1">
        <v>45007.146788993057</v>
      </c>
      <c r="D266" t="s">
        <v>198</v>
      </c>
      <c r="E266" t="s">
        <v>17</v>
      </c>
      <c r="F266" t="s">
        <v>18</v>
      </c>
      <c r="G266" t="s">
        <v>42</v>
      </c>
      <c r="H266">
        <v>4</v>
      </c>
      <c r="I266">
        <v>949</v>
      </c>
      <c r="J266">
        <v>3796</v>
      </c>
      <c r="K266" t="str">
        <f>TEXT(Table1[[#This Row],[Date]],"dddd")</f>
        <v>Wednesday</v>
      </c>
      <c r="L266" t="str">
        <f>TEXT(Table1[[#This Row],[Date]],"mmm-yyyy")</f>
        <v>Mar-2023</v>
      </c>
      <c r="M266">
        <f>HOUR(Table1[[#This Row],[Time]])</f>
        <v>3</v>
      </c>
    </row>
    <row r="267" spans="1:13" x14ac:dyDescent="0.3">
      <c r="A267">
        <v>1266</v>
      </c>
      <c r="B267" s="3">
        <v>45007.450375312503</v>
      </c>
      <c r="C267" s="1">
        <v>45007.450375312503</v>
      </c>
      <c r="D267" t="s">
        <v>181</v>
      </c>
      <c r="E267" t="s">
        <v>28</v>
      </c>
      <c r="F267" t="s">
        <v>24</v>
      </c>
      <c r="G267" t="s">
        <v>42</v>
      </c>
      <c r="H267">
        <v>1</v>
      </c>
      <c r="I267">
        <v>161</v>
      </c>
      <c r="J267">
        <v>161</v>
      </c>
      <c r="K267" t="str">
        <f>TEXT(Table1[[#This Row],[Date]],"dddd")</f>
        <v>Wednesday</v>
      </c>
      <c r="L267" t="str">
        <f>TEXT(Table1[[#This Row],[Date]],"mmm-yyyy")</f>
        <v>Mar-2023</v>
      </c>
      <c r="M267">
        <f>HOUR(Table1[[#This Row],[Time]])</f>
        <v>10</v>
      </c>
    </row>
    <row r="268" spans="1:13" x14ac:dyDescent="0.3">
      <c r="A268">
        <v>1267</v>
      </c>
      <c r="B268" s="3">
        <v>45007.753961631941</v>
      </c>
      <c r="C268" s="1">
        <v>45007.753961631941</v>
      </c>
      <c r="D268" t="s">
        <v>199</v>
      </c>
      <c r="E268" t="s">
        <v>14</v>
      </c>
      <c r="F268" t="s">
        <v>39</v>
      </c>
      <c r="G268" t="s">
        <v>56</v>
      </c>
      <c r="H268">
        <v>4</v>
      </c>
      <c r="I268">
        <v>244</v>
      </c>
      <c r="J268">
        <v>976</v>
      </c>
      <c r="K268" t="str">
        <f>TEXT(Table1[[#This Row],[Date]],"dddd")</f>
        <v>Wednesday</v>
      </c>
      <c r="L268" t="str">
        <f>TEXT(Table1[[#This Row],[Date]],"mmm-yyyy")</f>
        <v>Mar-2023</v>
      </c>
      <c r="M268">
        <f>HOUR(Table1[[#This Row],[Time]])</f>
        <v>18</v>
      </c>
    </row>
    <row r="269" spans="1:13" x14ac:dyDescent="0.3">
      <c r="A269">
        <v>1268</v>
      </c>
      <c r="B269" s="3">
        <v>45008.057547951386</v>
      </c>
      <c r="C269" s="1">
        <v>45008.057547951386</v>
      </c>
      <c r="D269" t="s">
        <v>145</v>
      </c>
      <c r="E269" t="s">
        <v>10</v>
      </c>
      <c r="F269" t="s">
        <v>24</v>
      </c>
      <c r="G269" t="s">
        <v>56</v>
      </c>
      <c r="H269">
        <v>1</v>
      </c>
      <c r="I269">
        <v>315</v>
      </c>
      <c r="J269">
        <v>315</v>
      </c>
      <c r="K269" t="str">
        <f>TEXT(Table1[[#This Row],[Date]],"dddd")</f>
        <v>Thursday</v>
      </c>
      <c r="L269" t="str">
        <f>TEXT(Table1[[#This Row],[Date]],"mmm-yyyy")</f>
        <v>Mar-2023</v>
      </c>
      <c r="M269">
        <f>HOUR(Table1[[#This Row],[Time]])</f>
        <v>1</v>
      </c>
    </row>
    <row r="270" spans="1:13" x14ac:dyDescent="0.3">
      <c r="A270">
        <v>1269</v>
      </c>
      <c r="B270" s="3">
        <v>45008.361134282408</v>
      </c>
      <c r="C270" s="1">
        <v>45008.361134282408</v>
      </c>
      <c r="D270" t="s">
        <v>188</v>
      </c>
      <c r="E270" t="s">
        <v>17</v>
      </c>
      <c r="F270" t="s">
        <v>39</v>
      </c>
      <c r="G270" t="s">
        <v>22</v>
      </c>
      <c r="H270">
        <v>5</v>
      </c>
      <c r="I270">
        <v>102</v>
      </c>
      <c r="J270">
        <v>510</v>
      </c>
      <c r="K270" t="str">
        <f>TEXT(Table1[[#This Row],[Date]],"dddd")</f>
        <v>Thursday</v>
      </c>
      <c r="L270" t="str">
        <f>TEXT(Table1[[#This Row],[Date]],"mmm-yyyy")</f>
        <v>Mar-2023</v>
      </c>
      <c r="M270">
        <f>HOUR(Table1[[#This Row],[Time]])</f>
        <v>8</v>
      </c>
    </row>
    <row r="271" spans="1:13" x14ac:dyDescent="0.3">
      <c r="A271">
        <v>1270</v>
      </c>
      <c r="B271" s="3">
        <v>45008.664720601853</v>
      </c>
      <c r="C271" s="1">
        <v>45008.664720601853</v>
      </c>
      <c r="D271" t="s">
        <v>107</v>
      </c>
      <c r="E271" t="s">
        <v>28</v>
      </c>
      <c r="F271" t="s">
        <v>18</v>
      </c>
      <c r="G271" t="s">
        <v>22</v>
      </c>
      <c r="H271">
        <v>4</v>
      </c>
      <c r="I271">
        <v>259</v>
      </c>
      <c r="J271">
        <v>1036</v>
      </c>
      <c r="K271" t="str">
        <f>TEXT(Table1[[#This Row],[Date]],"dddd")</f>
        <v>Thursday</v>
      </c>
      <c r="L271" t="str">
        <f>TEXT(Table1[[#This Row],[Date]],"mmm-yyyy")</f>
        <v>Mar-2023</v>
      </c>
      <c r="M271">
        <f>HOUR(Table1[[#This Row],[Time]])</f>
        <v>15</v>
      </c>
    </row>
    <row r="272" spans="1:13" x14ac:dyDescent="0.3">
      <c r="A272">
        <v>1271</v>
      </c>
      <c r="B272" s="3">
        <v>45008.968306921299</v>
      </c>
      <c r="C272" s="1">
        <v>45008.968306921299</v>
      </c>
      <c r="D272" t="s">
        <v>200</v>
      </c>
      <c r="E272" t="s">
        <v>10</v>
      </c>
      <c r="F272" t="s">
        <v>11</v>
      </c>
      <c r="G272" t="s">
        <v>25</v>
      </c>
      <c r="H272">
        <v>3</v>
      </c>
      <c r="I272">
        <v>838</v>
      </c>
      <c r="J272">
        <v>2514</v>
      </c>
      <c r="K272" t="str">
        <f>TEXT(Table1[[#This Row],[Date]],"dddd")</f>
        <v>Thursday</v>
      </c>
      <c r="L272" t="str">
        <f>TEXT(Table1[[#This Row],[Date]],"mmm-yyyy")</f>
        <v>Mar-2023</v>
      </c>
      <c r="M272">
        <f>HOUR(Table1[[#This Row],[Time]])</f>
        <v>23</v>
      </c>
    </row>
    <row r="273" spans="1:13" x14ac:dyDescent="0.3">
      <c r="A273">
        <v>1272</v>
      </c>
      <c r="B273" s="3">
        <v>45009.271893240744</v>
      </c>
      <c r="C273" s="1">
        <v>45009.271893240744</v>
      </c>
      <c r="D273" t="s">
        <v>201</v>
      </c>
      <c r="E273" t="s">
        <v>28</v>
      </c>
      <c r="F273" t="s">
        <v>39</v>
      </c>
      <c r="G273" t="s">
        <v>35</v>
      </c>
      <c r="H273">
        <v>1</v>
      </c>
      <c r="I273">
        <v>880</v>
      </c>
      <c r="J273">
        <v>880</v>
      </c>
      <c r="K273" t="str">
        <f>TEXT(Table1[[#This Row],[Date]],"dddd")</f>
        <v>Friday</v>
      </c>
      <c r="L273" t="str">
        <f>TEXT(Table1[[#This Row],[Date]],"mmm-yyyy")</f>
        <v>Mar-2023</v>
      </c>
      <c r="M273">
        <f>HOUR(Table1[[#This Row],[Time]])</f>
        <v>6</v>
      </c>
    </row>
    <row r="274" spans="1:13" x14ac:dyDescent="0.3">
      <c r="A274">
        <v>1273</v>
      </c>
      <c r="B274" s="3">
        <v>45009.575479571758</v>
      </c>
      <c r="C274" s="1">
        <v>45009.575479571758</v>
      </c>
      <c r="D274" t="s">
        <v>138</v>
      </c>
      <c r="E274" t="s">
        <v>28</v>
      </c>
      <c r="F274" t="s">
        <v>15</v>
      </c>
      <c r="G274" t="s">
        <v>12</v>
      </c>
      <c r="H274">
        <v>1</v>
      </c>
      <c r="I274">
        <v>219</v>
      </c>
      <c r="J274">
        <v>219</v>
      </c>
      <c r="K274" t="str">
        <f>TEXT(Table1[[#This Row],[Date]],"dddd")</f>
        <v>Friday</v>
      </c>
      <c r="L274" t="str">
        <f>TEXT(Table1[[#This Row],[Date]],"mmm-yyyy")</f>
        <v>Mar-2023</v>
      </c>
      <c r="M274">
        <f>HOUR(Table1[[#This Row],[Time]])</f>
        <v>13</v>
      </c>
    </row>
    <row r="275" spans="1:13" x14ac:dyDescent="0.3">
      <c r="A275">
        <v>1274</v>
      </c>
      <c r="B275" s="3">
        <v>45009.879065891204</v>
      </c>
      <c r="C275" s="1">
        <v>45009.879065891204</v>
      </c>
      <c r="D275" t="s">
        <v>128</v>
      </c>
      <c r="E275" t="s">
        <v>14</v>
      </c>
      <c r="F275" t="s">
        <v>11</v>
      </c>
      <c r="G275" t="s">
        <v>40</v>
      </c>
      <c r="H275">
        <v>4</v>
      </c>
      <c r="I275">
        <v>992</v>
      </c>
      <c r="J275">
        <v>3968</v>
      </c>
      <c r="K275" t="str">
        <f>TEXT(Table1[[#This Row],[Date]],"dddd")</f>
        <v>Friday</v>
      </c>
      <c r="L275" t="str">
        <f>TEXT(Table1[[#This Row],[Date]],"mmm-yyyy")</f>
        <v>Mar-2023</v>
      </c>
      <c r="M275">
        <f>HOUR(Table1[[#This Row],[Time]])</f>
        <v>21</v>
      </c>
    </row>
    <row r="276" spans="1:13" x14ac:dyDescent="0.3">
      <c r="A276">
        <v>1275</v>
      </c>
      <c r="B276" s="3">
        <v>45010.182652210649</v>
      </c>
      <c r="C276" s="1">
        <v>45010.182652210649</v>
      </c>
      <c r="D276" t="s">
        <v>145</v>
      </c>
      <c r="E276" t="s">
        <v>14</v>
      </c>
      <c r="F276" t="s">
        <v>18</v>
      </c>
      <c r="G276" t="s">
        <v>22</v>
      </c>
      <c r="H276">
        <v>3</v>
      </c>
      <c r="I276">
        <v>188</v>
      </c>
      <c r="J276">
        <v>564</v>
      </c>
      <c r="K276" t="str">
        <f>TEXT(Table1[[#This Row],[Date]],"dddd")</f>
        <v>Saturday</v>
      </c>
      <c r="L276" t="str">
        <f>TEXT(Table1[[#This Row],[Date]],"mmm-yyyy")</f>
        <v>Mar-2023</v>
      </c>
      <c r="M276">
        <f>HOUR(Table1[[#This Row],[Time]])</f>
        <v>4</v>
      </c>
    </row>
    <row r="277" spans="1:13" x14ac:dyDescent="0.3">
      <c r="A277">
        <v>1276</v>
      </c>
      <c r="B277" s="3">
        <v>45010.486238530095</v>
      </c>
      <c r="C277" s="1">
        <v>45010.486238530095</v>
      </c>
      <c r="D277" t="s">
        <v>112</v>
      </c>
      <c r="E277" t="s">
        <v>28</v>
      </c>
      <c r="F277" t="s">
        <v>15</v>
      </c>
      <c r="G277" t="s">
        <v>22</v>
      </c>
      <c r="H277">
        <v>3</v>
      </c>
      <c r="I277">
        <v>428</v>
      </c>
      <c r="J277">
        <v>1284</v>
      </c>
      <c r="K277" t="str">
        <f>TEXT(Table1[[#This Row],[Date]],"dddd")</f>
        <v>Saturday</v>
      </c>
      <c r="L277" t="str">
        <f>TEXT(Table1[[#This Row],[Date]],"mmm-yyyy")</f>
        <v>Mar-2023</v>
      </c>
      <c r="M277">
        <f>HOUR(Table1[[#This Row],[Time]])</f>
        <v>11</v>
      </c>
    </row>
    <row r="278" spans="1:13" x14ac:dyDescent="0.3">
      <c r="A278">
        <v>1277</v>
      </c>
      <c r="B278" s="3">
        <v>45010.78982484954</v>
      </c>
      <c r="C278" s="1">
        <v>45010.78982484954</v>
      </c>
      <c r="D278" t="s">
        <v>202</v>
      </c>
      <c r="E278" t="s">
        <v>17</v>
      </c>
      <c r="F278" t="s">
        <v>24</v>
      </c>
      <c r="G278" t="s">
        <v>56</v>
      </c>
      <c r="H278">
        <v>5</v>
      </c>
      <c r="I278">
        <v>679</v>
      </c>
      <c r="J278">
        <v>3395</v>
      </c>
      <c r="K278" t="str">
        <f>TEXT(Table1[[#This Row],[Date]],"dddd")</f>
        <v>Saturday</v>
      </c>
      <c r="L278" t="str">
        <f>TEXT(Table1[[#This Row],[Date]],"mmm-yyyy")</f>
        <v>Mar-2023</v>
      </c>
      <c r="M278">
        <f>HOUR(Table1[[#This Row],[Time]])</f>
        <v>18</v>
      </c>
    </row>
    <row r="279" spans="1:13" x14ac:dyDescent="0.3">
      <c r="A279">
        <v>1278</v>
      </c>
      <c r="B279" s="3">
        <v>45011.093411180555</v>
      </c>
      <c r="C279" s="1">
        <v>45011.093411180555</v>
      </c>
      <c r="D279" t="s">
        <v>203</v>
      </c>
      <c r="E279" t="s">
        <v>14</v>
      </c>
      <c r="F279" t="s">
        <v>18</v>
      </c>
      <c r="G279" t="s">
        <v>40</v>
      </c>
      <c r="H279">
        <v>3</v>
      </c>
      <c r="I279">
        <v>456</v>
      </c>
      <c r="J279">
        <v>1368</v>
      </c>
      <c r="K279" t="str">
        <f>TEXT(Table1[[#This Row],[Date]],"dddd")</f>
        <v>Sunday</v>
      </c>
      <c r="L279" t="str">
        <f>TEXT(Table1[[#This Row],[Date]],"mmm-yyyy")</f>
        <v>Mar-2023</v>
      </c>
      <c r="M279">
        <f>HOUR(Table1[[#This Row],[Time]])</f>
        <v>2</v>
      </c>
    </row>
    <row r="280" spans="1:13" x14ac:dyDescent="0.3">
      <c r="A280">
        <v>1279</v>
      </c>
      <c r="B280" s="3">
        <v>45011.3969975</v>
      </c>
      <c r="C280" s="1">
        <v>45011.3969975</v>
      </c>
      <c r="D280" t="s">
        <v>73</v>
      </c>
      <c r="E280" t="s">
        <v>14</v>
      </c>
      <c r="F280" t="s">
        <v>11</v>
      </c>
      <c r="G280" t="s">
        <v>19</v>
      </c>
      <c r="H280">
        <v>3</v>
      </c>
      <c r="I280">
        <v>709</v>
      </c>
      <c r="J280">
        <v>2127</v>
      </c>
      <c r="K280" t="str">
        <f>TEXT(Table1[[#This Row],[Date]],"dddd")</f>
        <v>Sunday</v>
      </c>
      <c r="L280" t="str">
        <f>TEXT(Table1[[#This Row],[Date]],"mmm-yyyy")</f>
        <v>Mar-2023</v>
      </c>
      <c r="M280">
        <f>HOUR(Table1[[#This Row],[Time]])</f>
        <v>9</v>
      </c>
    </row>
    <row r="281" spans="1:13" x14ac:dyDescent="0.3">
      <c r="A281">
        <v>1280</v>
      </c>
      <c r="B281" s="3">
        <v>45011.700583819445</v>
      </c>
      <c r="C281" s="1">
        <v>45011.700583819445</v>
      </c>
      <c r="D281" t="s">
        <v>165</v>
      </c>
      <c r="E281" t="s">
        <v>14</v>
      </c>
      <c r="F281" t="s">
        <v>24</v>
      </c>
      <c r="G281" t="s">
        <v>19</v>
      </c>
      <c r="H281">
        <v>3</v>
      </c>
      <c r="I281">
        <v>366</v>
      </c>
      <c r="J281">
        <v>1098</v>
      </c>
      <c r="K281" t="str">
        <f>TEXT(Table1[[#This Row],[Date]],"dddd")</f>
        <v>Sunday</v>
      </c>
      <c r="L281" t="str">
        <f>TEXT(Table1[[#This Row],[Date]],"mmm-yyyy")</f>
        <v>Mar-2023</v>
      </c>
      <c r="M281">
        <f>HOUR(Table1[[#This Row],[Time]])</f>
        <v>16</v>
      </c>
    </row>
    <row r="282" spans="1:13" x14ac:dyDescent="0.3">
      <c r="A282">
        <v>1281</v>
      </c>
      <c r="B282" s="3">
        <v>45012.004170138891</v>
      </c>
      <c r="C282" s="1">
        <v>45012.004170138891</v>
      </c>
      <c r="D282" t="s">
        <v>204</v>
      </c>
      <c r="E282" t="s">
        <v>14</v>
      </c>
      <c r="F282" t="s">
        <v>24</v>
      </c>
      <c r="G282" t="s">
        <v>25</v>
      </c>
      <c r="H282">
        <v>2</v>
      </c>
      <c r="I282">
        <v>716</v>
      </c>
      <c r="J282">
        <v>1432</v>
      </c>
      <c r="K282" t="str">
        <f>TEXT(Table1[[#This Row],[Date]],"dddd")</f>
        <v>Monday</v>
      </c>
      <c r="L282" t="str">
        <f>TEXT(Table1[[#This Row],[Date]],"mmm-yyyy")</f>
        <v>Mar-2023</v>
      </c>
      <c r="M282">
        <f>HOUR(Table1[[#This Row],[Time]])</f>
        <v>0</v>
      </c>
    </row>
    <row r="283" spans="1:13" x14ac:dyDescent="0.3">
      <c r="A283">
        <v>1282</v>
      </c>
      <c r="B283" s="3">
        <v>45012.307756458336</v>
      </c>
      <c r="C283" s="1">
        <v>45012.307756458336</v>
      </c>
      <c r="D283" t="s">
        <v>182</v>
      </c>
      <c r="E283" t="s">
        <v>10</v>
      </c>
      <c r="F283" t="s">
        <v>18</v>
      </c>
      <c r="G283" t="s">
        <v>12</v>
      </c>
      <c r="H283">
        <v>5</v>
      </c>
      <c r="I283">
        <v>422</v>
      </c>
      <c r="J283">
        <v>2110</v>
      </c>
      <c r="K283" t="str">
        <f>TEXT(Table1[[#This Row],[Date]],"dddd")</f>
        <v>Monday</v>
      </c>
      <c r="L283" t="str">
        <f>TEXT(Table1[[#This Row],[Date]],"mmm-yyyy")</f>
        <v>Mar-2023</v>
      </c>
      <c r="M283">
        <f>HOUR(Table1[[#This Row],[Time]])</f>
        <v>7</v>
      </c>
    </row>
    <row r="284" spans="1:13" x14ac:dyDescent="0.3">
      <c r="A284">
        <v>1283</v>
      </c>
      <c r="B284" s="3">
        <v>45012.611342789351</v>
      </c>
      <c r="C284" s="1">
        <v>45012.611342789351</v>
      </c>
      <c r="D284" t="s">
        <v>160</v>
      </c>
      <c r="E284" t="s">
        <v>28</v>
      </c>
      <c r="F284" t="s">
        <v>11</v>
      </c>
      <c r="G284" t="s">
        <v>19</v>
      </c>
      <c r="H284">
        <v>1</v>
      </c>
      <c r="I284">
        <v>734</v>
      </c>
      <c r="J284">
        <v>734</v>
      </c>
      <c r="K284" t="str">
        <f>TEXT(Table1[[#This Row],[Date]],"dddd")</f>
        <v>Monday</v>
      </c>
      <c r="L284" t="str">
        <f>TEXT(Table1[[#This Row],[Date]],"mmm-yyyy")</f>
        <v>Mar-2023</v>
      </c>
      <c r="M284">
        <f>HOUR(Table1[[#This Row],[Time]])</f>
        <v>14</v>
      </c>
    </row>
    <row r="285" spans="1:13" x14ac:dyDescent="0.3">
      <c r="A285">
        <v>1284</v>
      </c>
      <c r="B285" s="3">
        <v>45012.914929108796</v>
      </c>
      <c r="C285" s="1">
        <v>45012.914929108796</v>
      </c>
      <c r="D285" t="s">
        <v>205</v>
      </c>
      <c r="E285" t="s">
        <v>10</v>
      </c>
      <c r="F285" t="s">
        <v>18</v>
      </c>
      <c r="G285" t="s">
        <v>25</v>
      </c>
      <c r="H285">
        <v>4</v>
      </c>
      <c r="I285">
        <v>640</v>
      </c>
      <c r="J285">
        <v>2560</v>
      </c>
      <c r="K285" t="str">
        <f>TEXT(Table1[[#This Row],[Date]],"dddd")</f>
        <v>Monday</v>
      </c>
      <c r="L285" t="str">
        <f>TEXT(Table1[[#This Row],[Date]],"mmm-yyyy")</f>
        <v>Mar-2023</v>
      </c>
      <c r="M285">
        <f>HOUR(Table1[[#This Row],[Time]])</f>
        <v>21</v>
      </c>
    </row>
    <row r="286" spans="1:13" x14ac:dyDescent="0.3">
      <c r="A286">
        <v>1285</v>
      </c>
      <c r="B286" s="3">
        <v>45013.218515428242</v>
      </c>
      <c r="C286" s="1">
        <v>45013.218515428242</v>
      </c>
      <c r="D286" t="s">
        <v>104</v>
      </c>
      <c r="E286" t="s">
        <v>10</v>
      </c>
      <c r="F286" t="s">
        <v>15</v>
      </c>
      <c r="G286" t="s">
        <v>19</v>
      </c>
      <c r="H286">
        <v>1</v>
      </c>
      <c r="I286">
        <v>748</v>
      </c>
      <c r="J286">
        <v>748</v>
      </c>
      <c r="K286" t="str">
        <f>TEXT(Table1[[#This Row],[Date]],"dddd")</f>
        <v>Tuesday</v>
      </c>
      <c r="L286" t="str">
        <f>TEXT(Table1[[#This Row],[Date]],"mmm-yyyy")</f>
        <v>Mar-2023</v>
      </c>
      <c r="M286">
        <f>HOUR(Table1[[#This Row],[Time]])</f>
        <v>5</v>
      </c>
    </row>
    <row r="287" spans="1:13" x14ac:dyDescent="0.3">
      <c r="A287">
        <v>1286</v>
      </c>
      <c r="B287" s="3">
        <v>45013.522101747687</v>
      </c>
      <c r="C287" s="1">
        <v>45013.522101747687</v>
      </c>
      <c r="D287" t="s">
        <v>197</v>
      </c>
      <c r="E287" t="s">
        <v>28</v>
      </c>
      <c r="F287" t="s">
        <v>15</v>
      </c>
      <c r="G287" t="s">
        <v>56</v>
      </c>
      <c r="H287">
        <v>5</v>
      </c>
      <c r="I287">
        <v>294</v>
      </c>
      <c r="J287">
        <v>1470</v>
      </c>
      <c r="K287" t="str">
        <f>TEXT(Table1[[#This Row],[Date]],"dddd")</f>
        <v>Tuesday</v>
      </c>
      <c r="L287" t="str">
        <f>TEXT(Table1[[#This Row],[Date]],"mmm-yyyy")</f>
        <v>Mar-2023</v>
      </c>
      <c r="M287">
        <f>HOUR(Table1[[#This Row],[Time]])</f>
        <v>12</v>
      </c>
    </row>
    <row r="288" spans="1:13" x14ac:dyDescent="0.3">
      <c r="A288">
        <v>1287</v>
      </c>
      <c r="B288" s="3">
        <v>45013.825688078701</v>
      </c>
      <c r="C288" s="1">
        <v>45013.825688078701</v>
      </c>
      <c r="D288" t="s">
        <v>206</v>
      </c>
      <c r="E288" t="s">
        <v>14</v>
      </c>
      <c r="F288" t="s">
        <v>39</v>
      </c>
      <c r="G288" t="s">
        <v>40</v>
      </c>
      <c r="H288">
        <v>4</v>
      </c>
      <c r="I288">
        <v>837</v>
      </c>
      <c r="J288">
        <v>3348</v>
      </c>
      <c r="K288" t="str">
        <f>TEXT(Table1[[#This Row],[Date]],"dddd")</f>
        <v>Tuesday</v>
      </c>
      <c r="L288" t="str">
        <f>TEXT(Table1[[#This Row],[Date]],"mmm-yyyy")</f>
        <v>Mar-2023</v>
      </c>
      <c r="M288">
        <f>HOUR(Table1[[#This Row],[Time]])</f>
        <v>19</v>
      </c>
    </row>
    <row r="289" spans="1:13" x14ac:dyDescent="0.3">
      <c r="A289">
        <v>1288</v>
      </c>
      <c r="B289" s="3">
        <v>45014.129274398147</v>
      </c>
      <c r="C289" s="1">
        <v>45014.129274398147</v>
      </c>
      <c r="D289" t="s">
        <v>202</v>
      </c>
      <c r="E289" t="s">
        <v>17</v>
      </c>
      <c r="F289" t="s">
        <v>24</v>
      </c>
      <c r="G289" t="s">
        <v>56</v>
      </c>
      <c r="H289">
        <v>5</v>
      </c>
      <c r="I289">
        <v>431</v>
      </c>
      <c r="J289">
        <v>2155</v>
      </c>
      <c r="K289" t="str">
        <f>TEXT(Table1[[#This Row],[Date]],"dddd")</f>
        <v>Wednesday</v>
      </c>
      <c r="L289" t="str">
        <f>TEXT(Table1[[#This Row],[Date]],"mmm-yyyy")</f>
        <v>Mar-2023</v>
      </c>
      <c r="M289">
        <f>HOUR(Table1[[#This Row],[Time]])</f>
        <v>3</v>
      </c>
    </row>
    <row r="290" spans="1:13" x14ac:dyDescent="0.3">
      <c r="A290">
        <v>1289</v>
      </c>
      <c r="B290" s="3">
        <v>45014.432860717592</v>
      </c>
      <c r="C290" s="1">
        <v>45014.432860717592</v>
      </c>
      <c r="D290" t="s">
        <v>46</v>
      </c>
      <c r="E290" t="s">
        <v>14</v>
      </c>
      <c r="F290" t="s">
        <v>39</v>
      </c>
      <c r="G290" t="s">
        <v>42</v>
      </c>
      <c r="H290">
        <v>3</v>
      </c>
      <c r="I290">
        <v>269</v>
      </c>
      <c r="J290">
        <v>807</v>
      </c>
      <c r="K290" t="str">
        <f>TEXT(Table1[[#This Row],[Date]],"dddd")</f>
        <v>Wednesday</v>
      </c>
      <c r="L290" t="str">
        <f>TEXT(Table1[[#This Row],[Date]],"mmm-yyyy")</f>
        <v>Mar-2023</v>
      </c>
      <c r="M290">
        <f>HOUR(Table1[[#This Row],[Time]])</f>
        <v>10</v>
      </c>
    </row>
    <row r="291" spans="1:13" x14ac:dyDescent="0.3">
      <c r="A291">
        <v>1290</v>
      </c>
      <c r="B291" s="3">
        <v>45014.736447037038</v>
      </c>
      <c r="C291" s="1">
        <v>45014.736447037038</v>
      </c>
      <c r="D291" t="s">
        <v>109</v>
      </c>
      <c r="E291" t="s">
        <v>14</v>
      </c>
      <c r="F291" t="s">
        <v>11</v>
      </c>
      <c r="G291" t="s">
        <v>56</v>
      </c>
      <c r="H291">
        <v>4</v>
      </c>
      <c r="I291">
        <v>620</v>
      </c>
      <c r="J291">
        <v>2480</v>
      </c>
      <c r="K291" t="str">
        <f>TEXT(Table1[[#This Row],[Date]],"dddd")</f>
        <v>Wednesday</v>
      </c>
      <c r="L291" t="str">
        <f>TEXT(Table1[[#This Row],[Date]],"mmm-yyyy")</f>
        <v>Mar-2023</v>
      </c>
      <c r="M291">
        <f>HOUR(Table1[[#This Row],[Time]])</f>
        <v>17</v>
      </c>
    </row>
    <row r="292" spans="1:13" x14ac:dyDescent="0.3">
      <c r="A292">
        <v>1291</v>
      </c>
      <c r="B292" s="3">
        <v>45015.040033356483</v>
      </c>
      <c r="C292" s="1">
        <v>45015.040033356483</v>
      </c>
      <c r="D292" t="s">
        <v>207</v>
      </c>
      <c r="E292" t="s">
        <v>14</v>
      </c>
      <c r="F292" t="s">
        <v>15</v>
      </c>
      <c r="G292" t="s">
        <v>40</v>
      </c>
      <c r="H292">
        <v>3</v>
      </c>
      <c r="I292">
        <v>562</v>
      </c>
      <c r="J292">
        <v>1686</v>
      </c>
      <c r="K292" t="str">
        <f>TEXT(Table1[[#This Row],[Date]],"dddd")</f>
        <v>Thursday</v>
      </c>
      <c r="L292" t="str">
        <f>TEXT(Table1[[#This Row],[Date]],"mmm-yyyy")</f>
        <v>Mar-2023</v>
      </c>
      <c r="M292">
        <f>HOUR(Table1[[#This Row],[Time]])</f>
        <v>0</v>
      </c>
    </row>
    <row r="293" spans="1:13" x14ac:dyDescent="0.3">
      <c r="A293">
        <v>1292</v>
      </c>
      <c r="B293" s="3">
        <v>45015.343619687497</v>
      </c>
      <c r="C293" s="1">
        <v>45015.343619687497</v>
      </c>
      <c r="D293" t="s">
        <v>208</v>
      </c>
      <c r="E293" t="s">
        <v>14</v>
      </c>
      <c r="F293" t="s">
        <v>39</v>
      </c>
      <c r="G293" t="s">
        <v>19</v>
      </c>
      <c r="H293">
        <v>1</v>
      </c>
      <c r="I293">
        <v>139</v>
      </c>
      <c r="J293">
        <v>139</v>
      </c>
      <c r="K293" t="str">
        <f>TEXT(Table1[[#This Row],[Date]],"dddd")</f>
        <v>Thursday</v>
      </c>
      <c r="L293" t="str">
        <f>TEXT(Table1[[#This Row],[Date]],"mmm-yyyy")</f>
        <v>Mar-2023</v>
      </c>
      <c r="M293">
        <f>HOUR(Table1[[#This Row],[Time]])</f>
        <v>8</v>
      </c>
    </row>
    <row r="294" spans="1:13" x14ac:dyDescent="0.3">
      <c r="A294">
        <v>1293</v>
      </c>
      <c r="B294" s="3">
        <v>45015.647206006943</v>
      </c>
      <c r="C294" s="1">
        <v>45015.647206006943</v>
      </c>
      <c r="D294" t="s">
        <v>94</v>
      </c>
      <c r="E294" t="s">
        <v>17</v>
      </c>
      <c r="F294" t="s">
        <v>15</v>
      </c>
      <c r="G294" t="s">
        <v>35</v>
      </c>
      <c r="H294">
        <v>1</v>
      </c>
      <c r="I294">
        <v>636</v>
      </c>
      <c r="J294">
        <v>636</v>
      </c>
      <c r="K294" t="str">
        <f>TEXT(Table1[[#This Row],[Date]],"dddd")</f>
        <v>Thursday</v>
      </c>
      <c r="L294" t="str">
        <f>TEXT(Table1[[#This Row],[Date]],"mmm-yyyy")</f>
        <v>Mar-2023</v>
      </c>
      <c r="M294">
        <f>HOUR(Table1[[#This Row],[Time]])</f>
        <v>15</v>
      </c>
    </row>
    <row r="295" spans="1:13" x14ac:dyDescent="0.3">
      <c r="A295">
        <v>1294</v>
      </c>
      <c r="B295" s="3">
        <v>45015.950792326388</v>
      </c>
      <c r="C295" s="1">
        <v>45015.950792326388</v>
      </c>
      <c r="D295" t="s">
        <v>209</v>
      </c>
      <c r="E295" t="s">
        <v>10</v>
      </c>
      <c r="F295" t="s">
        <v>15</v>
      </c>
      <c r="G295" t="s">
        <v>25</v>
      </c>
      <c r="H295">
        <v>4</v>
      </c>
      <c r="I295">
        <v>360</v>
      </c>
      <c r="J295">
        <v>1440</v>
      </c>
      <c r="K295" t="str">
        <f>TEXT(Table1[[#This Row],[Date]],"dddd")</f>
        <v>Thursday</v>
      </c>
      <c r="L295" t="str">
        <f>TEXT(Table1[[#This Row],[Date]],"mmm-yyyy")</f>
        <v>Mar-2023</v>
      </c>
      <c r="M295">
        <f>HOUR(Table1[[#This Row],[Time]])</f>
        <v>22</v>
      </c>
    </row>
    <row r="296" spans="1:13" x14ac:dyDescent="0.3">
      <c r="A296">
        <v>1295</v>
      </c>
      <c r="B296" s="3">
        <v>45016.254378645834</v>
      </c>
      <c r="C296" s="1">
        <v>45016.254378645834</v>
      </c>
      <c r="D296" t="s">
        <v>210</v>
      </c>
      <c r="E296" t="s">
        <v>17</v>
      </c>
      <c r="F296" t="s">
        <v>15</v>
      </c>
      <c r="G296" t="s">
        <v>35</v>
      </c>
      <c r="H296">
        <v>4</v>
      </c>
      <c r="I296">
        <v>494</v>
      </c>
      <c r="J296">
        <v>1976</v>
      </c>
      <c r="K296" t="str">
        <f>TEXT(Table1[[#This Row],[Date]],"dddd")</f>
        <v>Friday</v>
      </c>
      <c r="L296" t="str">
        <f>TEXT(Table1[[#This Row],[Date]],"mmm-yyyy")</f>
        <v>Mar-2023</v>
      </c>
      <c r="M296">
        <f>HOUR(Table1[[#This Row],[Time]])</f>
        <v>6</v>
      </c>
    </row>
    <row r="297" spans="1:13" x14ac:dyDescent="0.3">
      <c r="A297">
        <v>1296</v>
      </c>
      <c r="B297" s="3">
        <v>45016.557964965279</v>
      </c>
      <c r="C297" s="1">
        <v>45016.557964965279</v>
      </c>
      <c r="D297" t="s">
        <v>199</v>
      </c>
      <c r="E297" t="s">
        <v>28</v>
      </c>
      <c r="F297" t="s">
        <v>18</v>
      </c>
      <c r="G297" t="s">
        <v>25</v>
      </c>
      <c r="H297">
        <v>5</v>
      </c>
      <c r="I297">
        <v>325</v>
      </c>
      <c r="J297">
        <v>1625</v>
      </c>
      <c r="K297" t="str">
        <f>TEXT(Table1[[#This Row],[Date]],"dddd")</f>
        <v>Friday</v>
      </c>
      <c r="L297" t="str">
        <f>TEXT(Table1[[#This Row],[Date]],"mmm-yyyy")</f>
        <v>Mar-2023</v>
      </c>
      <c r="M297">
        <f>HOUR(Table1[[#This Row],[Time]])</f>
        <v>13</v>
      </c>
    </row>
    <row r="298" spans="1:13" x14ac:dyDescent="0.3">
      <c r="A298">
        <v>1297</v>
      </c>
      <c r="B298" s="3">
        <v>45016.861551296293</v>
      </c>
      <c r="C298" s="1">
        <v>45016.861551296293</v>
      </c>
      <c r="D298" t="s">
        <v>144</v>
      </c>
      <c r="E298" t="s">
        <v>14</v>
      </c>
      <c r="F298" t="s">
        <v>39</v>
      </c>
      <c r="G298" t="s">
        <v>56</v>
      </c>
      <c r="H298">
        <v>5</v>
      </c>
      <c r="I298">
        <v>223</v>
      </c>
      <c r="J298">
        <v>1115</v>
      </c>
      <c r="K298" t="str">
        <f>TEXT(Table1[[#This Row],[Date]],"dddd")</f>
        <v>Friday</v>
      </c>
      <c r="L298" t="str">
        <f>TEXT(Table1[[#This Row],[Date]],"mmm-yyyy")</f>
        <v>Mar-2023</v>
      </c>
      <c r="M298">
        <f>HOUR(Table1[[#This Row],[Time]])</f>
        <v>20</v>
      </c>
    </row>
    <row r="299" spans="1:13" x14ac:dyDescent="0.3">
      <c r="A299">
        <v>1298</v>
      </c>
      <c r="B299" s="3">
        <v>45017.165137615739</v>
      </c>
      <c r="C299" s="1">
        <v>45017.165137615739</v>
      </c>
      <c r="D299" t="s">
        <v>61</v>
      </c>
      <c r="E299" t="s">
        <v>17</v>
      </c>
      <c r="F299" t="s">
        <v>24</v>
      </c>
      <c r="G299" t="s">
        <v>35</v>
      </c>
      <c r="H299">
        <v>3</v>
      </c>
      <c r="I299">
        <v>137</v>
      </c>
      <c r="J299">
        <v>411</v>
      </c>
      <c r="K299" t="str">
        <f>TEXT(Table1[[#This Row],[Date]],"dddd")</f>
        <v>Saturday</v>
      </c>
      <c r="L299" t="str">
        <f>TEXT(Table1[[#This Row],[Date]],"mmm-yyyy")</f>
        <v>Apr-2023</v>
      </c>
      <c r="M299">
        <f>HOUR(Table1[[#This Row],[Time]])</f>
        <v>3</v>
      </c>
    </row>
    <row r="300" spans="1:13" x14ac:dyDescent="0.3">
      <c r="A300">
        <v>1299</v>
      </c>
      <c r="B300" s="3">
        <v>45017.468723935184</v>
      </c>
      <c r="C300" s="1">
        <v>45017.468723935184</v>
      </c>
      <c r="D300" t="s">
        <v>101</v>
      </c>
      <c r="E300" t="s">
        <v>28</v>
      </c>
      <c r="F300" t="s">
        <v>39</v>
      </c>
      <c r="G300" t="s">
        <v>19</v>
      </c>
      <c r="H300">
        <v>4</v>
      </c>
      <c r="I300">
        <v>427</v>
      </c>
      <c r="J300">
        <v>1708</v>
      </c>
      <c r="K300" t="str">
        <f>TEXT(Table1[[#This Row],[Date]],"dddd")</f>
        <v>Saturday</v>
      </c>
      <c r="L300" t="str">
        <f>TEXT(Table1[[#This Row],[Date]],"mmm-yyyy")</f>
        <v>Apr-2023</v>
      </c>
      <c r="M300">
        <f>HOUR(Table1[[#This Row],[Time]])</f>
        <v>11</v>
      </c>
    </row>
    <row r="301" spans="1:13" x14ac:dyDescent="0.3">
      <c r="A301">
        <v>1300</v>
      </c>
      <c r="B301" s="3">
        <v>45017.77231025463</v>
      </c>
      <c r="C301" s="1">
        <v>45017.77231025463</v>
      </c>
      <c r="D301" t="s">
        <v>170</v>
      </c>
      <c r="E301" t="s">
        <v>17</v>
      </c>
      <c r="F301" t="s">
        <v>24</v>
      </c>
      <c r="G301" t="s">
        <v>22</v>
      </c>
      <c r="H301">
        <v>1</v>
      </c>
      <c r="I301">
        <v>350</v>
      </c>
      <c r="J301">
        <v>350</v>
      </c>
      <c r="K301" t="str">
        <f>TEXT(Table1[[#This Row],[Date]],"dddd")</f>
        <v>Saturday</v>
      </c>
      <c r="L301" t="str">
        <f>TEXT(Table1[[#This Row],[Date]],"mmm-yyyy")</f>
        <v>Apr-2023</v>
      </c>
      <c r="M301">
        <f>HOUR(Table1[[#This Row],[Time]])</f>
        <v>18</v>
      </c>
    </row>
    <row r="302" spans="1:13" x14ac:dyDescent="0.3">
      <c r="A302">
        <v>1301</v>
      </c>
      <c r="B302" s="3">
        <v>45018.075896585651</v>
      </c>
      <c r="C302" s="1">
        <v>45018.075896585651</v>
      </c>
      <c r="D302" t="s">
        <v>211</v>
      </c>
      <c r="E302" t="s">
        <v>14</v>
      </c>
      <c r="F302" t="s">
        <v>39</v>
      </c>
      <c r="G302" t="s">
        <v>35</v>
      </c>
      <c r="H302">
        <v>5</v>
      </c>
      <c r="I302">
        <v>275</v>
      </c>
      <c r="J302">
        <v>1375</v>
      </c>
      <c r="K302" t="str">
        <f>TEXT(Table1[[#This Row],[Date]],"dddd")</f>
        <v>Sunday</v>
      </c>
      <c r="L302" t="str">
        <f>TEXT(Table1[[#This Row],[Date]],"mmm-yyyy")</f>
        <v>Apr-2023</v>
      </c>
      <c r="M302">
        <f>HOUR(Table1[[#This Row],[Time]])</f>
        <v>1</v>
      </c>
    </row>
    <row r="303" spans="1:13" x14ac:dyDescent="0.3">
      <c r="A303">
        <v>1302</v>
      </c>
      <c r="B303" s="3">
        <v>45018.379482905089</v>
      </c>
      <c r="C303" s="1">
        <v>45018.379482905089</v>
      </c>
      <c r="D303" t="s">
        <v>102</v>
      </c>
      <c r="E303" t="s">
        <v>14</v>
      </c>
      <c r="F303" t="s">
        <v>39</v>
      </c>
      <c r="G303" t="s">
        <v>42</v>
      </c>
      <c r="H303">
        <v>5</v>
      </c>
      <c r="I303">
        <v>701</v>
      </c>
      <c r="J303">
        <v>3505</v>
      </c>
      <c r="K303" t="str">
        <f>TEXT(Table1[[#This Row],[Date]],"dddd")</f>
        <v>Sunday</v>
      </c>
      <c r="L303" t="str">
        <f>TEXT(Table1[[#This Row],[Date]],"mmm-yyyy")</f>
        <v>Apr-2023</v>
      </c>
      <c r="M303">
        <f>HOUR(Table1[[#This Row],[Time]])</f>
        <v>9</v>
      </c>
    </row>
    <row r="304" spans="1:13" x14ac:dyDescent="0.3">
      <c r="A304">
        <v>1303</v>
      </c>
      <c r="B304" s="3">
        <v>45018.683069224535</v>
      </c>
      <c r="C304" s="1">
        <v>45018.683069224535</v>
      </c>
      <c r="D304" t="s">
        <v>94</v>
      </c>
      <c r="E304" t="s">
        <v>28</v>
      </c>
      <c r="F304" t="s">
        <v>15</v>
      </c>
      <c r="G304" t="s">
        <v>56</v>
      </c>
      <c r="H304">
        <v>1</v>
      </c>
      <c r="I304">
        <v>553</v>
      </c>
      <c r="J304">
        <v>553</v>
      </c>
      <c r="K304" t="str">
        <f>TEXT(Table1[[#This Row],[Date]],"dddd")</f>
        <v>Sunday</v>
      </c>
      <c r="L304" t="str">
        <f>TEXT(Table1[[#This Row],[Date]],"mmm-yyyy")</f>
        <v>Apr-2023</v>
      </c>
      <c r="M304">
        <f>HOUR(Table1[[#This Row],[Time]])</f>
        <v>16</v>
      </c>
    </row>
    <row r="305" spans="1:13" x14ac:dyDescent="0.3">
      <c r="A305">
        <v>1304</v>
      </c>
      <c r="B305" s="3">
        <v>45018.98665554398</v>
      </c>
      <c r="C305" s="1">
        <v>45018.98665554398</v>
      </c>
      <c r="D305" t="s">
        <v>212</v>
      </c>
      <c r="E305" t="s">
        <v>17</v>
      </c>
      <c r="F305" t="s">
        <v>24</v>
      </c>
      <c r="G305" t="s">
        <v>25</v>
      </c>
      <c r="H305">
        <v>5</v>
      </c>
      <c r="I305">
        <v>136</v>
      </c>
      <c r="J305">
        <v>680</v>
      </c>
      <c r="K305" t="str">
        <f>TEXT(Table1[[#This Row],[Date]],"dddd")</f>
        <v>Sunday</v>
      </c>
      <c r="L305" t="str">
        <f>TEXT(Table1[[#This Row],[Date]],"mmm-yyyy")</f>
        <v>Apr-2023</v>
      </c>
      <c r="M305">
        <f>HOUR(Table1[[#This Row],[Time]])</f>
        <v>23</v>
      </c>
    </row>
    <row r="306" spans="1:13" x14ac:dyDescent="0.3">
      <c r="A306">
        <v>1305</v>
      </c>
      <c r="B306" s="3">
        <v>45019.290241863426</v>
      </c>
      <c r="C306" s="1">
        <v>45019.290241863426</v>
      </c>
      <c r="D306" t="s">
        <v>213</v>
      </c>
      <c r="E306" t="s">
        <v>14</v>
      </c>
      <c r="F306" t="s">
        <v>24</v>
      </c>
      <c r="G306" t="s">
        <v>25</v>
      </c>
      <c r="H306">
        <v>3</v>
      </c>
      <c r="I306">
        <v>415</v>
      </c>
      <c r="J306">
        <v>1245</v>
      </c>
      <c r="K306" t="str">
        <f>TEXT(Table1[[#This Row],[Date]],"dddd")</f>
        <v>Monday</v>
      </c>
      <c r="L306" t="str">
        <f>TEXT(Table1[[#This Row],[Date]],"mmm-yyyy")</f>
        <v>Apr-2023</v>
      </c>
      <c r="M306">
        <f>HOUR(Table1[[#This Row],[Time]])</f>
        <v>6</v>
      </c>
    </row>
    <row r="307" spans="1:13" x14ac:dyDescent="0.3">
      <c r="A307">
        <v>1306</v>
      </c>
      <c r="B307" s="3">
        <v>45019.593828194447</v>
      </c>
      <c r="C307" s="1">
        <v>45019.593828194447</v>
      </c>
      <c r="D307" t="s">
        <v>102</v>
      </c>
      <c r="E307" t="s">
        <v>28</v>
      </c>
      <c r="F307" t="s">
        <v>24</v>
      </c>
      <c r="G307" t="s">
        <v>40</v>
      </c>
      <c r="H307">
        <v>4</v>
      </c>
      <c r="I307">
        <v>787</v>
      </c>
      <c r="J307">
        <v>3148</v>
      </c>
      <c r="K307" t="str">
        <f>TEXT(Table1[[#This Row],[Date]],"dddd")</f>
        <v>Monday</v>
      </c>
      <c r="L307" t="str">
        <f>TEXT(Table1[[#This Row],[Date]],"mmm-yyyy")</f>
        <v>Apr-2023</v>
      </c>
      <c r="M307">
        <f>HOUR(Table1[[#This Row],[Time]])</f>
        <v>14</v>
      </c>
    </row>
    <row r="308" spans="1:13" x14ac:dyDescent="0.3">
      <c r="A308">
        <v>1307</v>
      </c>
      <c r="B308" s="3">
        <v>45019.897414513885</v>
      </c>
      <c r="C308" s="1">
        <v>45019.897414513885</v>
      </c>
      <c r="D308" t="s">
        <v>214</v>
      </c>
      <c r="E308" t="s">
        <v>17</v>
      </c>
      <c r="F308" t="s">
        <v>39</v>
      </c>
      <c r="G308" t="s">
        <v>19</v>
      </c>
      <c r="H308">
        <v>1</v>
      </c>
      <c r="I308">
        <v>895</v>
      </c>
      <c r="J308">
        <v>895</v>
      </c>
      <c r="K308" t="str">
        <f>TEXT(Table1[[#This Row],[Date]],"dddd")</f>
        <v>Monday</v>
      </c>
      <c r="L308" t="str">
        <f>TEXT(Table1[[#This Row],[Date]],"mmm-yyyy")</f>
        <v>Apr-2023</v>
      </c>
      <c r="M308">
        <f>HOUR(Table1[[#This Row],[Time]])</f>
        <v>21</v>
      </c>
    </row>
    <row r="309" spans="1:13" x14ac:dyDescent="0.3">
      <c r="A309">
        <v>1308</v>
      </c>
      <c r="B309" s="3">
        <v>45020.201000833331</v>
      </c>
      <c r="C309" s="1">
        <v>45020.201000833331</v>
      </c>
      <c r="D309" t="s">
        <v>77</v>
      </c>
      <c r="E309" t="s">
        <v>17</v>
      </c>
      <c r="F309" t="s">
        <v>24</v>
      </c>
      <c r="G309" t="s">
        <v>25</v>
      </c>
      <c r="H309">
        <v>4</v>
      </c>
      <c r="I309">
        <v>692</v>
      </c>
      <c r="J309">
        <v>2768</v>
      </c>
      <c r="K309" t="str">
        <f>TEXT(Table1[[#This Row],[Date]],"dddd")</f>
        <v>Tuesday</v>
      </c>
      <c r="L309" t="str">
        <f>TEXT(Table1[[#This Row],[Date]],"mmm-yyyy")</f>
        <v>Apr-2023</v>
      </c>
      <c r="M309">
        <f>HOUR(Table1[[#This Row],[Time]])</f>
        <v>4</v>
      </c>
    </row>
    <row r="310" spans="1:13" x14ac:dyDescent="0.3">
      <c r="A310">
        <v>1309</v>
      </c>
      <c r="B310" s="3">
        <v>45020.504587152776</v>
      </c>
      <c r="C310" s="1">
        <v>45020.504587152776</v>
      </c>
      <c r="D310" t="s">
        <v>212</v>
      </c>
      <c r="E310" t="s">
        <v>28</v>
      </c>
      <c r="F310" t="s">
        <v>39</v>
      </c>
      <c r="G310" t="s">
        <v>42</v>
      </c>
      <c r="H310">
        <v>5</v>
      </c>
      <c r="I310">
        <v>213</v>
      </c>
      <c r="J310">
        <v>1065</v>
      </c>
      <c r="K310" t="str">
        <f>TEXT(Table1[[#This Row],[Date]],"dddd")</f>
        <v>Tuesday</v>
      </c>
      <c r="L310" t="str">
        <f>TEXT(Table1[[#This Row],[Date]],"mmm-yyyy")</f>
        <v>Apr-2023</v>
      </c>
      <c r="M310">
        <f>HOUR(Table1[[#This Row],[Time]])</f>
        <v>12</v>
      </c>
    </row>
    <row r="311" spans="1:13" x14ac:dyDescent="0.3">
      <c r="A311">
        <v>1310</v>
      </c>
      <c r="B311" s="3">
        <v>45020.808173472222</v>
      </c>
      <c r="C311" s="1">
        <v>45020.808173472222</v>
      </c>
      <c r="D311" t="s">
        <v>105</v>
      </c>
      <c r="E311" t="s">
        <v>17</v>
      </c>
      <c r="F311" t="s">
        <v>18</v>
      </c>
      <c r="G311" t="s">
        <v>40</v>
      </c>
      <c r="H311">
        <v>5</v>
      </c>
      <c r="I311">
        <v>139</v>
      </c>
      <c r="J311">
        <v>695</v>
      </c>
      <c r="K311" t="str">
        <f>TEXT(Table1[[#This Row],[Date]],"dddd")</f>
        <v>Tuesday</v>
      </c>
      <c r="L311" t="str">
        <f>TEXT(Table1[[#This Row],[Date]],"mmm-yyyy")</f>
        <v>Apr-2023</v>
      </c>
      <c r="M311">
        <f>HOUR(Table1[[#This Row],[Time]])</f>
        <v>19</v>
      </c>
    </row>
    <row r="312" spans="1:13" x14ac:dyDescent="0.3">
      <c r="A312">
        <v>1311</v>
      </c>
      <c r="B312" s="3">
        <v>45021.111759803243</v>
      </c>
      <c r="C312" s="1">
        <v>45021.111759803243</v>
      </c>
      <c r="D312" t="s">
        <v>169</v>
      </c>
      <c r="E312" t="s">
        <v>17</v>
      </c>
      <c r="F312" t="s">
        <v>15</v>
      </c>
      <c r="G312" t="s">
        <v>12</v>
      </c>
      <c r="H312">
        <v>1</v>
      </c>
      <c r="I312">
        <v>400</v>
      </c>
      <c r="J312">
        <v>400</v>
      </c>
      <c r="K312" t="str">
        <f>TEXT(Table1[[#This Row],[Date]],"dddd")</f>
        <v>Wednesday</v>
      </c>
      <c r="L312" t="str">
        <f>TEXT(Table1[[#This Row],[Date]],"mmm-yyyy")</f>
        <v>Apr-2023</v>
      </c>
      <c r="M312">
        <f>HOUR(Table1[[#This Row],[Time]])</f>
        <v>2</v>
      </c>
    </row>
    <row r="313" spans="1:13" x14ac:dyDescent="0.3">
      <c r="A313">
        <v>1312</v>
      </c>
      <c r="B313" s="3">
        <v>45021.415346122689</v>
      </c>
      <c r="C313" s="1">
        <v>45021.415346122689</v>
      </c>
      <c r="D313" t="s">
        <v>132</v>
      </c>
      <c r="E313" t="s">
        <v>14</v>
      </c>
      <c r="F313" t="s">
        <v>11</v>
      </c>
      <c r="G313" t="s">
        <v>22</v>
      </c>
      <c r="H313">
        <v>3</v>
      </c>
      <c r="I313">
        <v>323</v>
      </c>
      <c r="J313">
        <v>969</v>
      </c>
      <c r="K313" t="str">
        <f>TEXT(Table1[[#This Row],[Date]],"dddd")</f>
        <v>Wednesday</v>
      </c>
      <c r="L313" t="str">
        <f>TEXT(Table1[[#This Row],[Date]],"mmm-yyyy")</f>
        <v>Apr-2023</v>
      </c>
      <c r="M313">
        <f>HOUR(Table1[[#This Row],[Time]])</f>
        <v>9</v>
      </c>
    </row>
    <row r="314" spans="1:13" x14ac:dyDescent="0.3">
      <c r="A314">
        <v>1313</v>
      </c>
      <c r="B314" s="3">
        <v>45021.718932442127</v>
      </c>
      <c r="C314" s="1">
        <v>45021.718932442127</v>
      </c>
      <c r="D314" t="s">
        <v>61</v>
      </c>
      <c r="E314" t="s">
        <v>14</v>
      </c>
      <c r="F314" t="s">
        <v>18</v>
      </c>
      <c r="G314" t="s">
        <v>42</v>
      </c>
      <c r="H314">
        <v>2</v>
      </c>
      <c r="I314">
        <v>417</v>
      </c>
      <c r="J314">
        <v>834</v>
      </c>
      <c r="K314" t="str">
        <f>TEXT(Table1[[#This Row],[Date]],"dddd")</f>
        <v>Wednesday</v>
      </c>
      <c r="L314" t="str">
        <f>TEXT(Table1[[#This Row],[Date]],"mmm-yyyy")</f>
        <v>Apr-2023</v>
      </c>
      <c r="M314">
        <f>HOUR(Table1[[#This Row],[Time]])</f>
        <v>17</v>
      </c>
    </row>
    <row r="315" spans="1:13" x14ac:dyDescent="0.3">
      <c r="A315">
        <v>1314</v>
      </c>
      <c r="B315" s="3">
        <v>45022.022518761572</v>
      </c>
      <c r="C315" s="1">
        <v>45022.022518761572</v>
      </c>
      <c r="D315" t="s">
        <v>170</v>
      </c>
      <c r="E315" t="s">
        <v>14</v>
      </c>
      <c r="F315" t="s">
        <v>24</v>
      </c>
      <c r="G315" t="s">
        <v>33</v>
      </c>
      <c r="H315">
        <v>1</v>
      </c>
      <c r="I315">
        <v>448</v>
      </c>
      <c r="J315">
        <v>448</v>
      </c>
      <c r="K315" t="str">
        <f>TEXT(Table1[[#This Row],[Date]],"dddd")</f>
        <v>Thursday</v>
      </c>
      <c r="L315" t="str">
        <f>TEXT(Table1[[#This Row],[Date]],"mmm-yyyy")</f>
        <v>Apr-2023</v>
      </c>
      <c r="M315">
        <f>HOUR(Table1[[#This Row],[Time]])</f>
        <v>0</v>
      </c>
    </row>
    <row r="316" spans="1:13" x14ac:dyDescent="0.3">
      <c r="A316">
        <v>1315</v>
      </c>
      <c r="B316" s="3">
        <v>45022.326105092594</v>
      </c>
      <c r="C316" s="1">
        <v>45022.326105092594</v>
      </c>
      <c r="D316" t="s">
        <v>215</v>
      </c>
      <c r="E316" t="s">
        <v>28</v>
      </c>
      <c r="F316" t="s">
        <v>15</v>
      </c>
      <c r="G316" t="s">
        <v>35</v>
      </c>
      <c r="H316">
        <v>2</v>
      </c>
      <c r="I316">
        <v>214</v>
      </c>
      <c r="J316">
        <v>428</v>
      </c>
      <c r="K316" t="str">
        <f>TEXT(Table1[[#This Row],[Date]],"dddd")</f>
        <v>Thursday</v>
      </c>
      <c r="L316" t="str">
        <f>TEXT(Table1[[#This Row],[Date]],"mmm-yyyy")</f>
        <v>Apr-2023</v>
      </c>
      <c r="M316">
        <f>HOUR(Table1[[#This Row],[Time]])</f>
        <v>7</v>
      </c>
    </row>
    <row r="317" spans="1:13" x14ac:dyDescent="0.3">
      <c r="A317">
        <v>1316</v>
      </c>
      <c r="B317" s="3">
        <v>45022.629691412039</v>
      </c>
      <c r="C317" s="1">
        <v>45022.629691412039</v>
      </c>
      <c r="D317" t="s">
        <v>73</v>
      </c>
      <c r="E317" t="s">
        <v>10</v>
      </c>
      <c r="F317" t="s">
        <v>15</v>
      </c>
      <c r="G317" t="s">
        <v>35</v>
      </c>
      <c r="H317">
        <v>2</v>
      </c>
      <c r="I317">
        <v>797</v>
      </c>
      <c r="J317">
        <v>1594</v>
      </c>
      <c r="K317" t="str">
        <f>TEXT(Table1[[#This Row],[Date]],"dddd")</f>
        <v>Thursday</v>
      </c>
      <c r="L317" t="str">
        <f>TEXT(Table1[[#This Row],[Date]],"mmm-yyyy")</f>
        <v>Apr-2023</v>
      </c>
      <c r="M317">
        <f>HOUR(Table1[[#This Row],[Time]])</f>
        <v>15</v>
      </c>
    </row>
    <row r="318" spans="1:13" x14ac:dyDescent="0.3">
      <c r="A318">
        <v>1317</v>
      </c>
      <c r="B318" s="3">
        <v>45022.933277731485</v>
      </c>
      <c r="C318" s="1">
        <v>45022.933277731485</v>
      </c>
      <c r="D318" t="s">
        <v>20</v>
      </c>
      <c r="E318" t="s">
        <v>17</v>
      </c>
      <c r="F318" t="s">
        <v>15</v>
      </c>
      <c r="G318" t="s">
        <v>29</v>
      </c>
      <c r="H318">
        <v>3</v>
      </c>
      <c r="I318">
        <v>422</v>
      </c>
      <c r="J318">
        <v>1266</v>
      </c>
      <c r="K318" t="str">
        <f>TEXT(Table1[[#This Row],[Date]],"dddd")</f>
        <v>Thursday</v>
      </c>
      <c r="L318" t="str">
        <f>TEXT(Table1[[#This Row],[Date]],"mmm-yyyy")</f>
        <v>Apr-2023</v>
      </c>
      <c r="M318">
        <f>HOUR(Table1[[#This Row],[Time]])</f>
        <v>22</v>
      </c>
    </row>
    <row r="319" spans="1:13" x14ac:dyDescent="0.3">
      <c r="A319">
        <v>1318</v>
      </c>
      <c r="B319" s="3">
        <v>45023.236864050923</v>
      </c>
      <c r="C319" s="1">
        <v>45023.236864050923</v>
      </c>
      <c r="D319" t="s">
        <v>81</v>
      </c>
      <c r="E319" t="s">
        <v>28</v>
      </c>
      <c r="F319" t="s">
        <v>15</v>
      </c>
      <c r="G319" t="s">
        <v>22</v>
      </c>
      <c r="H319">
        <v>2</v>
      </c>
      <c r="I319">
        <v>667</v>
      </c>
      <c r="J319">
        <v>1334</v>
      </c>
      <c r="K319" t="str">
        <f>TEXT(Table1[[#This Row],[Date]],"dddd")</f>
        <v>Friday</v>
      </c>
      <c r="L319" t="str">
        <f>TEXT(Table1[[#This Row],[Date]],"mmm-yyyy")</f>
        <v>Apr-2023</v>
      </c>
      <c r="M319">
        <f>HOUR(Table1[[#This Row],[Time]])</f>
        <v>5</v>
      </c>
    </row>
    <row r="320" spans="1:13" x14ac:dyDescent="0.3">
      <c r="A320">
        <v>1319</v>
      </c>
      <c r="B320" s="3">
        <v>45023.540450370368</v>
      </c>
      <c r="C320" s="1">
        <v>45023.540450370368</v>
      </c>
      <c r="D320" t="s">
        <v>216</v>
      </c>
      <c r="E320" t="s">
        <v>10</v>
      </c>
      <c r="F320" t="s">
        <v>24</v>
      </c>
      <c r="G320" t="s">
        <v>33</v>
      </c>
      <c r="H320">
        <v>2</v>
      </c>
      <c r="I320">
        <v>139</v>
      </c>
      <c r="J320">
        <v>278</v>
      </c>
      <c r="K320" t="str">
        <f>TEXT(Table1[[#This Row],[Date]],"dddd")</f>
        <v>Friday</v>
      </c>
      <c r="L320" t="str">
        <f>TEXT(Table1[[#This Row],[Date]],"mmm-yyyy")</f>
        <v>Apr-2023</v>
      </c>
      <c r="M320">
        <f>HOUR(Table1[[#This Row],[Time]])</f>
        <v>12</v>
      </c>
    </row>
    <row r="321" spans="1:13" x14ac:dyDescent="0.3">
      <c r="A321">
        <v>1320</v>
      </c>
      <c r="B321" s="3">
        <v>45023.84403670139</v>
      </c>
      <c r="C321" s="1">
        <v>45023.84403670139</v>
      </c>
      <c r="D321" t="s">
        <v>128</v>
      </c>
      <c r="E321" t="s">
        <v>10</v>
      </c>
      <c r="F321" t="s">
        <v>15</v>
      </c>
      <c r="G321" t="s">
        <v>33</v>
      </c>
      <c r="H321">
        <v>3</v>
      </c>
      <c r="I321">
        <v>965</v>
      </c>
      <c r="J321">
        <v>2895</v>
      </c>
      <c r="K321" t="str">
        <f>TEXT(Table1[[#This Row],[Date]],"dddd")</f>
        <v>Friday</v>
      </c>
      <c r="L321" t="str">
        <f>TEXT(Table1[[#This Row],[Date]],"mmm-yyyy")</f>
        <v>Apr-2023</v>
      </c>
      <c r="M321">
        <f>HOUR(Table1[[#This Row],[Time]])</f>
        <v>20</v>
      </c>
    </row>
    <row r="322" spans="1:13" x14ac:dyDescent="0.3">
      <c r="A322">
        <v>1321</v>
      </c>
      <c r="B322" s="3">
        <v>45024.147623020835</v>
      </c>
      <c r="C322" s="1">
        <v>45024.147623020835</v>
      </c>
      <c r="D322" t="s">
        <v>157</v>
      </c>
      <c r="E322" t="s">
        <v>28</v>
      </c>
      <c r="F322" t="s">
        <v>11</v>
      </c>
      <c r="G322" t="s">
        <v>35</v>
      </c>
      <c r="H322">
        <v>2</v>
      </c>
      <c r="I322">
        <v>139</v>
      </c>
      <c r="J322">
        <v>278</v>
      </c>
      <c r="K322" t="str">
        <f>TEXT(Table1[[#This Row],[Date]],"dddd")</f>
        <v>Saturday</v>
      </c>
      <c r="L322" t="str">
        <f>TEXT(Table1[[#This Row],[Date]],"mmm-yyyy")</f>
        <v>Apr-2023</v>
      </c>
      <c r="M322">
        <f>HOUR(Table1[[#This Row],[Time]])</f>
        <v>3</v>
      </c>
    </row>
    <row r="323" spans="1:13" x14ac:dyDescent="0.3">
      <c r="A323">
        <v>1322</v>
      </c>
      <c r="B323" s="3">
        <v>45024.451209340281</v>
      </c>
      <c r="C323" s="1">
        <v>45024.451209340281</v>
      </c>
      <c r="D323" t="s">
        <v>217</v>
      </c>
      <c r="E323" t="s">
        <v>10</v>
      </c>
      <c r="F323" t="s">
        <v>11</v>
      </c>
      <c r="G323" t="s">
        <v>40</v>
      </c>
      <c r="H323">
        <v>2</v>
      </c>
      <c r="I323">
        <v>958</v>
      </c>
      <c r="J323">
        <v>1916</v>
      </c>
      <c r="K323" t="str">
        <f>TEXT(Table1[[#This Row],[Date]],"dddd")</f>
        <v>Saturday</v>
      </c>
      <c r="L323" t="str">
        <f>TEXT(Table1[[#This Row],[Date]],"mmm-yyyy")</f>
        <v>Apr-2023</v>
      </c>
      <c r="M323">
        <f>HOUR(Table1[[#This Row],[Time]])</f>
        <v>10</v>
      </c>
    </row>
    <row r="324" spans="1:13" x14ac:dyDescent="0.3">
      <c r="A324">
        <v>1323</v>
      </c>
      <c r="B324" s="3">
        <v>45024.754795659719</v>
      </c>
      <c r="C324" s="1">
        <v>45024.754795659719</v>
      </c>
      <c r="D324" t="s">
        <v>218</v>
      </c>
      <c r="E324" t="s">
        <v>14</v>
      </c>
      <c r="F324" t="s">
        <v>15</v>
      </c>
      <c r="G324" t="s">
        <v>19</v>
      </c>
      <c r="H324">
        <v>2</v>
      </c>
      <c r="I324">
        <v>848</v>
      </c>
      <c r="J324">
        <v>1696</v>
      </c>
      <c r="K324" t="str">
        <f>TEXT(Table1[[#This Row],[Date]],"dddd")</f>
        <v>Saturday</v>
      </c>
      <c r="L324" t="str">
        <f>TEXT(Table1[[#This Row],[Date]],"mmm-yyyy")</f>
        <v>Apr-2023</v>
      </c>
      <c r="M324">
        <f>HOUR(Table1[[#This Row],[Time]])</f>
        <v>18</v>
      </c>
    </row>
    <row r="325" spans="1:13" x14ac:dyDescent="0.3">
      <c r="A325">
        <v>1324</v>
      </c>
      <c r="B325" s="3">
        <v>45025.058381990741</v>
      </c>
      <c r="C325" s="1">
        <v>45025.058381990741</v>
      </c>
      <c r="D325" t="s">
        <v>122</v>
      </c>
      <c r="E325" t="s">
        <v>28</v>
      </c>
      <c r="F325" t="s">
        <v>39</v>
      </c>
      <c r="G325" t="s">
        <v>29</v>
      </c>
      <c r="H325">
        <v>1</v>
      </c>
      <c r="I325">
        <v>388</v>
      </c>
      <c r="J325">
        <v>388</v>
      </c>
      <c r="K325" t="str">
        <f>TEXT(Table1[[#This Row],[Date]],"dddd")</f>
        <v>Sunday</v>
      </c>
      <c r="L325" t="str">
        <f>TEXT(Table1[[#This Row],[Date]],"mmm-yyyy")</f>
        <v>Apr-2023</v>
      </c>
      <c r="M325">
        <f>HOUR(Table1[[#This Row],[Time]])</f>
        <v>1</v>
      </c>
    </row>
    <row r="326" spans="1:13" x14ac:dyDescent="0.3">
      <c r="A326">
        <v>1325</v>
      </c>
      <c r="B326" s="3">
        <v>45025.361968310186</v>
      </c>
      <c r="C326" s="1">
        <v>45025.361968310186</v>
      </c>
      <c r="D326" t="s">
        <v>213</v>
      </c>
      <c r="E326" t="s">
        <v>17</v>
      </c>
      <c r="F326" t="s">
        <v>24</v>
      </c>
      <c r="G326" t="s">
        <v>25</v>
      </c>
      <c r="H326">
        <v>1</v>
      </c>
      <c r="I326">
        <v>361</v>
      </c>
      <c r="J326">
        <v>361</v>
      </c>
      <c r="K326" t="str">
        <f>TEXT(Table1[[#This Row],[Date]],"dddd")</f>
        <v>Sunday</v>
      </c>
      <c r="L326" t="str">
        <f>TEXT(Table1[[#This Row],[Date]],"mmm-yyyy")</f>
        <v>Apr-2023</v>
      </c>
      <c r="M326">
        <f>HOUR(Table1[[#This Row],[Time]])</f>
        <v>8</v>
      </c>
    </row>
    <row r="327" spans="1:13" x14ac:dyDescent="0.3">
      <c r="A327">
        <v>1326</v>
      </c>
      <c r="B327" s="3">
        <v>45025.665554629632</v>
      </c>
      <c r="C327" s="1">
        <v>45025.665554629632</v>
      </c>
      <c r="D327" t="s">
        <v>124</v>
      </c>
      <c r="E327" t="s">
        <v>14</v>
      </c>
      <c r="F327" t="s">
        <v>11</v>
      </c>
      <c r="G327" t="s">
        <v>22</v>
      </c>
      <c r="H327">
        <v>1</v>
      </c>
      <c r="I327">
        <v>315</v>
      </c>
      <c r="J327">
        <v>315</v>
      </c>
      <c r="K327" t="str">
        <f>TEXT(Table1[[#This Row],[Date]],"dddd")</f>
        <v>Sunday</v>
      </c>
      <c r="L327" t="str">
        <f>TEXT(Table1[[#This Row],[Date]],"mmm-yyyy")</f>
        <v>Apr-2023</v>
      </c>
      <c r="M327">
        <f>HOUR(Table1[[#This Row],[Time]])</f>
        <v>15</v>
      </c>
    </row>
    <row r="328" spans="1:13" x14ac:dyDescent="0.3">
      <c r="A328">
        <v>1327</v>
      </c>
      <c r="B328" s="3">
        <v>45025.969140949077</v>
      </c>
      <c r="C328" s="1">
        <v>45025.969140949077</v>
      </c>
      <c r="D328" t="s">
        <v>211</v>
      </c>
      <c r="E328" t="s">
        <v>17</v>
      </c>
      <c r="F328" t="s">
        <v>11</v>
      </c>
      <c r="G328" t="s">
        <v>19</v>
      </c>
      <c r="H328">
        <v>3</v>
      </c>
      <c r="I328">
        <v>246</v>
      </c>
      <c r="J328">
        <v>738</v>
      </c>
      <c r="K328" t="str">
        <f>TEXT(Table1[[#This Row],[Date]],"dddd")</f>
        <v>Sunday</v>
      </c>
      <c r="L328" t="str">
        <f>TEXT(Table1[[#This Row],[Date]],"mmm-yyyy")</f>
        <v>Apr-2023</v>
      </c>
      <c r="M328">
        <f>HOUR(Table1[[#This Row],[Time]])</f>
        <v>23</v>
      </c>
    </row>
    <row r="329" spans="1:13" x14ac:dyDescent="0.3">
      <c r="A329">
        <v>1328</v>
      </c>
      <c r="B329" s="3">
        <v>45026.272727268515</v>
      </c>
      <c r="C329" s="1">
        <v>45026.272727268515</v>
      </c>
      <c r="D329" t="s">
        <v>219</v>
      </c>
      <c r="E329" t="s">
        <v>10</v>
      </c>
      <c r="F329" t="s">
        <v>11</v>
      </c>
      <c r="G329" t="s">
        <v>56</v>
      </c>
      <c r="H329">
        <v>5</v>
      </c>
      <c r="I329">
        <v>435</v>
      </c>
      <c r="J329">
        <v>2175</v>
      </c>
      <c r="K329" t="str">
        <f>TEXT(Table1[[#This Row],[Date]],"dddd")</f>
        <v>Monday</v>
      </c>
      <c r="L329" t="str">
        <f>TEXT(Table1[[#This Row],[Date]],"mmm-yyyy")</f>
        <v>Apr-2023</v>
      </c>
      <c r="M329">
        <f>HOUR(Table1[[#This Row],[Time]])</f>
        <v>6</v>
      </c>
    </row>
    <row r="330" spans="1:13" x14ac:dyDescent="0.3">
      <c r="A330">
        <v>1329</v>
      </c>
      <c r="B330" s="3">
        <v>45026.576313599537</v>
      </c>
      <c r="C330" s="1">
        <v>45026.576313599537</v>
      </c>
      <c r="D330" t="s">
        <v>220</v>
      </c>
      <c r="E330" t="s">
        <v>14</v>
      </c>
      <c r="F330" t="s">
        <v>18</v>
      </c>
      <c r="G330" t="s">
        <v>33</v>
      </c>
      <c r="H330">
        <v>2</v>
      </c>
      <c r="I330">
        <v>267</v>
      </c>
      <c r="J330">
        <v>534</v>
      </c>
      <c r="K330" t="str">
        <f>TEXT(Table1[[#This Row],[Date]],"dddd")</f>
        <v>Monday</v>
      </c>
      <c r="L330" t="str">
        <f>TEXT(Table1[[#This Row],[Date]],"mmm-yyyy")</f>
        <v>Apr-2023</v>
      </c>
      <c r="M330">
        <f>HOUR(Table1[[#This Row],[Time]])</f>
        <v>13</v>
      </c>
    </row>
    <row r="331" spans="1:13" x14ac:dyDescent="0.3">
      <c r="A331">
        <v>1330</v>
      </c>
      <c r="B331" s="3">
        <v>45026.879899918982</v>
      </c>
      <c r="C331" s="1">
        <v>45026.879899918982</v>
      </c>
      <c r="D331" t="s">
        <v>61</v>
      </c>
      <c r="E331" t="s">
        <v>17</v>
      </c>
      <c r="F331" t="s">
        <v>18</v>
      </c>
      <c r="G331" t="s">
        <v>35</v>
      </c>
      <c r="H331">
        <v>2</v>
      </c>
      <c r="I331">
        <v>191</v>
      </c>
      <c r="J331">
        <v>382</v>
      </c>
      <c r="K331" t="str">
        <f>TEXT(Table1[[#This Row],[Date]],"dddd")</f>
        <v>Monday</v>
      </c>
      <c r="L331" t="str">
        <f>TEXT(Table1[[#This Row],[Date]],"mmm-yyyy")</f>
        <v>Apr-2023</v>
      </c>
      <c r="M331">
        <f>HOUR(Table1[[#This Row],[Time]])</f>
        <v>21</v>
      </c>
    </row>
    <row r="332" spans="1:13" x14ac:dyDescent="0.3">
      <c r="A332">
        <v>1331</v>
      </c>
      <c r="B332" s="3">
        <v>45027.183486238428</v>
      </c>
      <c r="C332" s="1">
        <v>45027.183486238428</v>
      </c>
      <c r="D332" t="s">
        <v>221</v>
      </c>
      <c r="E332" t="s">
        <v>28</v>
      </c>
      <c r="F332" t="s">
        <v>11</v>
      </c>
      <c r="G332" t="s">
        <v>42</v>
      </c>
      <c r="H332">
        <v>3</v>
      </c>
      <c r="I332">
        <v>452</v>
      </c>
      <c r="J332">
        <v>1356</v>
      </c>
      <c r="K332" t="str">
        <f>TEXT(Table1[[#This Row],[Date]],"dddd")</f>
        <v>Tuesday</v>
      </c>
      <c r="L332" t="str">
        <f>TEXT(Table1[[#This Row],[Date]],"mmm-yyyy")</f>
        <v>Apr-2023</v>
      </c>
      <c r="M332">
        <f>HOUR(Table1[[#This Row],[Time]])</f>
        <v>4</v>
      </c>
    </row>
    <row r="333" spans="1:13" x14ac:dyDescent="0.3">
      <c r="A333">
        <v>1332</v>
      </c>
      <c r="B333" s="3">
        <v>45027.487072557873</v>
      </c>
      <c r="C333" s="1">
        <v>45027.487072557873</v>
      </c>
      <c r="D333" t="s">
        <v>133</v>
      </c>
      <c r="E333" t="s">
        <v>10</v>
      </c>
      <c r="F333" t="s">
        <v>39</v>
      </c>
      <c r="G333" t="s">
        <v>42</v>
      </c>
      <c r="H333">
        <v>2</v>
      </c>
      <c r="I333">
        <v>670</v>
      </c>
      <c r="J333">
        <v>1340</v>
      </c>
      <c r="K333" t="str">
        <f>TEXT(Table1[[#This Row],[Date]],"dddd")</f>
        <v>Tuesday</v>
      </c>
      <c r="L333" t="str">
        <f>TEXT(Table1[[#This Row],[Date]],"mmm-yyyy")</f>
        <v>Apr-2023</v>
      </c>
      <c r="M333">
        <f>HOUR(Table1[[#This Row],[Time]])</f>
        <v>11</v>
      </c>
    </row>
    <row r="334" spans="1:13" x14ac:dyDescent="0.3">
      <c r="A334">
        <v>1333</v>
      </c>
      <c r="B334" s="3">
        <v>45027.790658877311</v>
      </c>
      <c r="C334" s="1">
        <v>45027.790658877311</v>
      </c>
      <c r="D334" t="s">
        <v>124</v>
      </c>
      <c r="E334" t="s">
        <v>17</v>
      </c>
      <c r="F334" t="s">
        <v>24</v>
      </c>
      <c r="G334" t="s">
        <v>56</v>
      </c>
      <c r="H334">
        <v>1</v>
      </c>
      <c r="I334">
        <v>670</v>
      </c>
      <c r="J334">
        <v>670</v>
      </c>
      <c r="K334" t="str">
        <f>TEXT(Table1[[#This Row],[Date]],"dddd")</f>
        <v>Tuesday</v>
      </c>
      <c r="L334" t="str">
        <f>TEXT(Table1[[#This Row],[Date]],"mmm-yyyy")</f>
        <v>Apr-2023</v>
      </c>
      <c r="M334">
        <f>HOUR(Table1[[#This Row],[Time]])</f>
        <v>18</v>
      </c>
    </row>
    <row r="335" spans="1:13" x14ac:dyDescent="0.3">
      <c r="A335">
        <v>1334</v>
      </c>
      <c r="B335" s="3">
        <v>45028.094245208333</v>
      </c>
      <c r="C335" s="1">
        <v>45028.094245208333</v>
      </c>
      <c r="D335" t="s">
        <v>53</v>
      </c>
      <c r="E335" t="s">
        <v>10</v>
      </c>
      <c r="F335" t="s">
        <v>24</v>
      </c>
      <c r="G335" t="s">
        <v>33</v>
      </c>
      <c r="H335">
        <v>5</v>
      </c>
      <c r="I335">
        <v>915</v>
      </c>
      <c r="J335">
        <v>4575</v>
      </c>
      <c r="K335" t="str">
        <f>TEXT(Table1[[#This Row],[Date]],"dddd")</f>
        <v>Wednesday</v>
      </c>
      <c r="L335" t="str">
        <f>TEXT(Table1[[#This Row],[Date]],"mmm-yyyy")</f>
        <v>Apr-2023</v>
      </c>
      <c r="M335">
        <f>HOUR(Table1[[#This Row],[Time]])</f>
        <v>2</v>
      </c>
    </row>
    <row r="336" spans="1:13" x14ac:dyDescent="0.3">
      <c r="A336">
        <v>1335</v>
      </c>
      <c r="B336" s="3">
        <v>45028.397831527778</v>
      </c>
      <c r="C336" s="1">
        <v>45028.397831527778</v>
      </c>
      <c r="D336" t="s">
        <v>222</v>
      </c>
      <c r="E336" t="s">
        <v>17</v>
      </c>
      <c r="F336" t="s">
        <v>11</v>
      </c>
      <c r="G336" t="s">
        <v>25</v>
      </c>
      <c r="H336">
        <v>4</v>
      </c>
      <c r="I336">
        <v>780</v>
      </c>
      <c r="J336">
        <v>3120</v>
      </c>
      <c r="K336" t="str">
        <f>TEXT(Table1[[#This Row],[Date]],"dddd")</f>
        <v>Wednesday</v>
      </c>
      <c r="L336" t="str">
        <f>TEXT(Table1[[#This Row],[Date]],"mmm-yyyy")</f>
        <v>Apr-2023</v>
      </c>
      <c r="M336">
        <f>HOUR(Table1[[#This Row],[Time]])</f>
        <v>9</v>
      </c>
    </row>
    <row r="337" spans="1:13" x14ac:dyDescent="0.3">
      <c r="A337">
        <v>1336</v>
      </c>
      <c r="B337" s="3">
        <v>45028.701417847224</v>
      </c>
      <c r="C337" s="1">
        <v>45028.701417847224</v>
      </c>
      <c r="D337" t="s">
        <v>223</v>
      </c>
      <c r="E337" t="s">
        <v>28</v>
      </c>
      <c r="F337" t="s">
        <v>11</v>
      </c>
      <c r="G337" t="s">
        <v>25</v>
      </c>
      <c r="H337">
        <v>2</v>
      </c>
      <c r="I337">
        <v>880</v>
      </c>
      <c r="J337">
        <v>1760</v>
      </c>
      <c r="K337" t="str">
        <f>TEXT(Table1[[#This Row],[Date]],"dddd")</f>
        <v>Wednesday</v>
      </c>
      <c r="L337" t="str">
        <f>TEXT(Table1[[#This Row],[Date]],"mmm-yyyy")</f>
        <v>Apr-2023</v>
      </c>
      <c r="M337">
        <f>HOUR(Table1[[#This Row],[Time]])</f>
        <v>16</v>
      </c>
    </row>
    <row r="338" spans="1:13" x14ac:dyDescent="0.3">
      <c r="A338">
        <v>1337</v>
      </c>
      <c r="B338" s="3">
        <v>45029.005004166669</v>
      </c>
      <c r="C338" s="1">
        <v>45029.005004166669</v>
      </c>
      <c r="D338" t="s">
        <v>83</v>
      </c>
      <c r="E338" t="s">
        <v>14</v>
      </c>
      <c r="F338" t="s">
        <v>24</v>
      </c>
      <c r="G338" t="s">
        <v>56</v>
      </c>
      <c r="H338">
        <v>1</v>
      </c>
      <c r="I338">
        <v>462</v>
      </c>
      <c r="J338">
        <v>462</v>
      </c>
      <c r="K338" t="str">
        <f>TEXT(Table1[[#This Row],[Date]],"dddd")</f>
        <v>Thursday</v>
      </c>
      <c r="L338" t="str">
        <f>TEXT(Table1[[#This Row],[Date]],"mmm-yyyy")</f>
        <v>Apr-2023</v>
      </c>
      <c r="M338">
        <f>HOUR(Table1[[#This Row],[Time]])</f>
        <v>0</v>
      </c>
    </row>
    <row r="339" spans="1:13" x14ac:dyDescent="0.3">
      <c r="A339">
        <v>1338</v>
      </c>
      <c r="B339" s="3">
        <v>45029.308590497683</v>
      </c>
      <c r="C339" s="1">
        <v>45029.308590497683</v>
      </c>
      <c r="D339" t="s">
        <v>224</v>
      </c>
      <c r="E339" t="s">
        <v>17</v>
      </c>
      <c r="F339" t="s">
        <v>39</v>
      </c>
      <c r="G339" t="s">
        <v>40</v>
      </c>
      <c r="H339">
        <v>4</v>
      </c>
      <c r="I339">
        <v>656</v>
      </c>
      <c r="J339">
        <v>2624</v>
      </c>
      <c r="K339" t="str">
        <f>TEXT(Table1[[#This Row],[Date]],"dddd")</f>
        <v>Thursday</v>
      </c>
      <c r="L339" t="str">
        <f>TEXT(Table1[[#This Row],[Date]],"mmm-yyyy")</f>
        <v>Apr-2023</v>
      </c>
      <c r="M339">
        <f>HOUR(Table1[[#This Row],[Time]])</f>
        <v>7</v>
      </c>
    </row>
    <row r="340" spans="1:13" x14ac:dyDescent="0.3">
      <c r="A340">
        <v>1339</v>
      </c>
      <c r="B340" s="3">
        <v>45029.612176817129</v>
      </c>
      <c r="C340" s="1">
        <v>45029.612176817129</v>
      </c>
      <c r="D340" t="s">
        <v>210</v>
      </c>
      <c r="E340" t="s">
        <v>10</v>
      </c>
      <c r="F340" t="s">
        <v>18</v>
      </c>
      <c r="G340" t="s">
        <v>25</v>
      </c>
      <c r="H340">
        <v>5</v>
      </c>
      <c r="I340">
        <v>444</v>
      </c>
      <c r="J340">
        <v>2220</v>
      </c>
      <c r="K340" t="str">
        <f>TEXT(Table1[[#This Row],[Date]],"dddd")</f>
        <v>Thursday</v>
      </c>
      <c r="L340" t="str">
        <f>TEXT(Table1[[#This Row],[Date]],"mmm-yyyy")</f>
        <v>Apr-2023</v>
      </c>
      <c r="M340">
        <f>HOUR(Table1[[#This Row],[Time]])</f>
        <v>14</v>
      </c>
    </row>
    <row r="341" spans="1:13" x14ac:dyDescent="0.3">
      <c r="A341">
        <v>1340</v>
      </c>
      <c r="B341" s="3">
        <v>45029.915763136574</v>
      </c>
      <c r="C341" s="1">
        <v>45029.915763136574</v>
      </c>
      <c r="D341" t="s">
        <v>61</v>
      </c>
      <c r="E341" t="s">
        <v>28</v>
      </c>
      <c r="F341" t="s">
        <v>18</v>
      </c>
      <c r="G341" t="s">
        <v>22</v>
      </c>
      <c r="H341">
        <v>4</v>
      </c>
      <c r="I341">
        <v>792</v>
      </c>
      <c r="J341">
        <v>3168</v>
      </c>
      <c r="K341" t="str">
        <f>TEXT(Table1[[#This Row],[Date]],"dddd")</f>
        <v>Thursday</v>
      </c>
      <c r="L341" t="str">
        <f>TEXT(Table1[[#This Row],[Date]],"mmm-yyyy")</f>
        <v>Apr-2023</v>
      </c>
      <c r="M341">
        <f>HOUR(Table1[[#This Row],[Time]])</f>
        <v>21</v>
      </c>
    </row>
    <row r="342" spans="1:13" x14ac:dyDescent="0.3">
      <c r="A342">
        <v>1341</v>
      </c>
      <c r="B342" s="3">
        <v>45030.21934945602</v>
      </c>
      <c r="C342" s="1">
        <v>45030.21934945602</v>
      </c>
      <c r="D342" t="s">
        <v>41</v>
      </c>
      <c r="E342" t="s">
        <v>14</v>
      </c>
      <c r="F342" t="s">
        <v>11</v>
      </c>
      <c r="G342" t="s">
        <v>29</v>
      </c>
      <c r="H342">
        <v>1</v>
      </c>
      <c r="I342">
        <v>269</v>
      </c>
      <c r="J342">
        <v>269</v>
      </c>
      <c r="K342" t="str">
        <f>TEXT(Table1[[#This Row],[Date]],"dddd")</f>
        <v>Friday</v>
      </c>
      <c r="L342" t="str">
        <f>TEXT(Table1[[#This Row],[Date]],"mmm-yyyy")</f>
        <v>Apr-2023</v>
      </c>
      <c r="M342">
        <f>HOUR(Table1[[#This Row],[Time]])</f>
        <v>5</v>
      </c>
    </row>
    <row r="343" spans="1:13" x14ac:dyDescent="0.3">
      <c r="A343">
        <v>1342</v>
      </c>
      <c r="B343" s="3">
        <v>45030.522935775465</v>
      </c>
      <c r="C343" s="1">
        <v>45030.522935775465</v>
      </c>
      <c r="D343" t="s">
        <v>141</v>
      </c>
      <c r="E343" t="s">
        <v>10</v>
      </c>
      <c r="F343" t="s">
        <v>24</v>
      </c>
      <c r="G343" t="s">
        <v>22</v>
      </c>
      <c r="H343">
        <v>4</v>
      </c>
      <c r="I343">
        <v>455</v>
      </c>
      <c r="J343">
        <v>1820</v>
      </c>
      <c r="K343" t="str">
        <f>TEXT(Table1[[#This Row],[Date]],"dddd")</f>
        <v>Friday</v>
      </c>
      <c r="L343" t="str">
        <f>TEXT(Table1[[#This Row],[Date]],"mmm-yyyy")</f>
        <v>Apr-2023</v>
      </c>
      <c r="M343">
        <f>HOUR(Table1[[#This Row],[Time]])</f>
        <v>12</v>
      </c>
    </row>
    <row r="344" spans="1:13" x14ac:dyDescent="0.3">
      <c r="A344">
        <v>1343</v>
      </c>
      <c r="B344" s="3">
        <v>45030.826522106479</v>
      </c>
      <c r="C344" s="1">
        <v>45030.826522106479</v>
      </c>
      <c r="D344" t="s">
        <v>123</v>
      </c>
      <c r="E344" t="s">
        <v>28</v>
      </c>
      <c r="F344" t="s">
        <v>18</v>
      </c>
      <c r="G344" t="s">
        <v>12</v>
      </c>
      <c r="H344">
        <v>3</v>
      </c>
      <c r="I344">
        <v>290</v>
      </c>
      <c r="J344">
        <v>870</v>
      </c>
      <c r="K344" t="str">
        <f>TEXT(Table1[[#This Row],[Date]],"dddd")</f>
        <v>Friday</v>
      </c>
      <c r="L344" t="str">
        <f>TEXT(Table1[[#This Row],[Date]],"mmm-yyyy")</f>
        <v>Apr-2023</v>
      </c>
      <c r="M344">
        <f>HOUR(Table1[[#This Row],[Time]])</f>
        <v>19</v>
      </c>
    </row>
    <row r="345" spans="1:13" x14ac:dyDescent="0.3">
      <c r="A345">
        <v>1344</v>
      </c>
      <c r="B345" s="3">
        <v>45031.130108425925</v>
      </c>
      <c r="C345" s="1">
        <v>45031.130108425925</v>
      </c>
      <c r="D345" t="s">
        <v>225</v>
      </c>
      <c r="E345" t="s">
        <v>10</v>
      </c>
      <c r="F345" t="s">
        <v>39</v>
      </c>
      <c r="G345" t="s">
        <v>42</v>
      </c>
      <c r="H345">
        <v>4</v>
      </c>
      <c r="I345">
        <v>766</v>
      </c>
      <c r="J345">
        <v>3064</v>
      </c>
      <c r="K345" t="str">
        <f>TEXT(Table1[[#This Row],[Date]],"dddd")</f>
        <v>Saturday</v>
      </c>
      <c r="L345" t="str">
        <f>TEXT(Table1[[#This Row],[Date]],"mmm-yyyy")</f>
        <v>Apr-2023</v>
      </c>
      <c r="M345">
        <f>HOUR(Table1[[#This Row],[Time]])</f>
        <v>3</v>
      </c>
    </row>
    <row r="346" spans="1:13" x14ac:dyDescent="0.3">
      <c r="A346">
        <v>1345</v>
      </c>
      <c r="B346" s="3">
        <v>45031.43369474537</v>
      </c>
      <c r="C346" s="1">
        <v>45031.43369474537</v>
      </c>
      <c r="D346" t="s">
        <v>36</v>
      </c>
      <c r="E346" t="s">
        <v>28</v>
      </c>
      <c r="F346" t="s">
        <v>11</v>
      </c>
      <c r="G346" t="s">
        <v>33</v>
      </c>
      <c r="H346">
        <v>2</v>
      </c>
      <c r="I346">
        <v>521</v>
      </c>
      <c r="J346">
        <v>1042</v>
      </c>
      <c r="K346" t="str">
        <f>TEXT(Table1[[#This Row],[Date]],"dddd")</f>
        <v>Saturday</v>
      </c>
      <c r="L346" t="str">
        <f>TEXT(Table1[[#This Row],[Date]],"mmm-yyyy")</f>
        <v>Apr-2023</v>
      </c>
      <c r="M346">
        <f>HOUR(Table1[[#This Row],[Time]])</f>
        <v>10</v>
      </c>
    </row>
    <row r="347" spans="1:13" x14ac:dyDescent="0.3">
      <c r="A347">
        <v>1346</v>
      </c>
      <c r="B347" s="3">
        <v>45031.737281064816</v>
      </c>
      <c r="C347" s="1">
        <v>45031.737281064816</v>
      </c>
      <c r="D347" t="s">
        <v>31</v>
      </c>
      <c r="E347" t="s">
        <v>14</v>
      </c>
      <c r="F347" t="s">
        <v>15</v>
      </c>
      <c r="G347" t="s">
        <v>29</v>
      </c>
      <c r="H347">
        <v>2</v>
      </c>
      <c r="I347">
        <v>799</v>
      </c>
      <c r="J347">
        <v>1598</v>
      </c>
      <c r="K347" t="str">
        <f>TEXT(Table1[[#This Row],[Date]],"dddd")</f>
        <v>Saturday</v>
      </c>
      <c r="L347" t="str">
        <f>TEXT(Table1[[#This Row],[Date]],"mmm-yyyy")</f>
        <v>Apr-2023</v>
      </c>
      <c r="M347">
        <f>HOUR(Table1[[#This Row],[Time]])</f>
        <v>17</v>
      </c>
    </row>
    <row r="348" spans="1:13" x14ac:dyDescent="0.3">
      <c r="A348">
        <v>1347</v>
      </c>
      <c r="B348" s="3">
        <v>45032.040867384261</v>
      </c>
      <c r="C348" s="1">
        <v>45032.040867384261</v>
      </c>
      <c r="D348" t="s">
        <v>226</v>
      </c>
      <c r="E348" t="s">
        <v>14</v>
      </c>
      <c r="F348" t="s">
        <v>11</v>
      </c>
      <c r="G348" t="s">
        <v>33</v>
      </c>
      <c r="H348">
        <v>3</v>
      </c>
      <c r="I348">
        <v>106</v>
      </c>
      <c r="J348">
        <v>318</v>
      </c>
      <c r="K348" t="str">
        <f>TEXT(Table1[[#This Row],[Date]],"dddd")</f>
        <v>Sunday</v>
      </c>
      <c r="L348" t="str">
        <f>TEXT(Table1[[#This Row],[Date]],"mmm-yyyy")</f>
        <v>Apr-2023</v>
      </c>
      <c r="M348">
        <f>HOUR(Table1[[#This Row],[Time]])</f>
        <v>0</v>
      </c>
    </row>
    <row r="349" spans="1:13" x14ac:dyDescent="0.3">
      <c r="A349">
        <v>1348</v>
      </c>
      <c r="B349" s="3">
        <v>45032.344453715275</v>
      </c>
      <c r="C349" s="1">
        <v>45032.344453715275</v>
      </c>
      <c r="D349" t="s">
        <v>62</v>
      </c>
      <c r="E349" t="s">
        <v>10</v>
      </c>
      <c r="F349" t="s">
        <v>15</v>
      </c>
      <c r="G349" t="s">
        <v>19</v>
      </c>
      <c r="H349">
        <v>1</v>
      </c>
      <c r="I349">
        <v>232</v>
      </c>
      <c r="J349">
        <v>232</v>
      </c>
      <c r="K349" t="str">
        <f>TEXT(Table1[[#This Row],[Date]],"dddd")</f>
        <v>Sunday</v>
      </c>
      <c r="L349" t="str">
        <f>TEXT(Table1[[#This Row],[Date]],"mmm-yyyy")</f>
        <v>Apr-2023</v>
      </c>
      <c r="M349">
        <f>HOUR(Table1[[#This Row],[Time]])</f>
        <v>8</v>
      </c>
    </row>
    <row r="350" spans="1:13" x14ac:dyDescent="0.3">
      <c r="A350">
        <v>1349</v>
      </c>
      <c r="B350" s="3">
        <v>45032.648040034721</v>
      </c>
      <c r="C350" s="1">
        <v>45032.648040034721</v>
      </c>
      <c r="D350" t="s">
        <v>129</v>
      </c>
      <c r="E350" t="s">
        <v>28</v>
      </c>
      <c r="F350" t="s">
        <v>11</v>
      </c>
      <c r="G350" t="s">
        <v>19</v>
      </c>
      <c r="H350">
        <v>2</v>
      </c>
      <c r="I350">
        <v>846</v>
      </c>
      <c r="J350">
        <v>1692</v>
      </c>
      <c r="K350" t="str">
        <f>TEXT(Table1[[#This Row],[Date]],"dddd")</f>
        <v>Sunday</v>
      </c>
      <c r="L350" t="str">
        <f>TEXT(Table1[[#This Row],[Date]],"mmm-yyyy")</f>
        <v>Apr-2023</v>
      </c>
      <c r="M350">
        <f>HOUR(Table1[[#This Row],[Time]])</f>
        <v>15</v>
      </c>
    </row>
    <row r="351" spans="1:13" x14ac:dyDescent="0.3">
      <c r="A351">
        <v>1350</v>
      </c>
      <c r="B351" s="3">
        <v>45032.951626354166</v>
      </c>
      <c r="C351" s="1">
        <v>45032.951626354166</v>
      </c>
      <c r="D351" t="s">
        <v>227</v>
      </c>
      <c r="E351" t="s">
        <v>17</v>
      </c>
      <c r="F351" t="s">
        <v>24</v>
      </c>
      <c r="G351" t="s">
        <v>29</v>
      </c>
      <c r="H351">
        <v>5</v>
      </c>
      <c r="I351">
        <v>656</v>
      </c>
      <c r="J351">
        <v>3280</v>
      </c>
      <c r="K351" t="str">
        <f>TEXT(Table1[[#This Row],[Date]],"dddd")</f>
        <v>Sunday</v>
      </c>
      <c r="L351" t="str">
        <f>TEXT(Table1[[#This Row],[Date]],"mmm-yyyy")</f>
        <v>Apr-2023</v>
      </c>
      <c r="M351">
        <f>HOUR(Table1[[#This Row],[Time]])</f>
        <v>22</v>
      </c>
    </row>
    <row r="352" spans="1:13" x14ac:dyDescent="0.3">
      <c r="A352">
        <v>1351</v>
      </c>
      <c r="B352" s="3">
        <v>45033.255212673612</v>
      </c>
      <c r="C352" s="1">
        <v>45033.255212673612</v>
      </c>
      <c r="D352" t="s">
        <v>228</v>
      </c>
      <c r="E352" t="s">
        <v>14</v>
      </c>
      <c r="F352" t="s">
        <v>24</v>
      </c>
      <c r="G352" t="s">
        <v>40</v>
      </c>
      <c r="H352">
        <v>2</v>
      </c>
      <c r="I352">
        <v>925</v>
      </c>
      <c r="J352">
        <v>1850</v>
      </c>
      <c r="K352" t="str">
        <f>TEXT(Table1[[#This Row],[Date]],"dddd")</f>
        <v>Monday</v>
      </c>
      <c r="L352" t="str">
        <f>TEXT(Table1[[#This Row],[Date]],"mmm-yyyy")</f>
        <v>Apr-2023</v>
      </c>
      <c r="M352">
        <f>HOUR(Table1[[#This Row],[Time]])</f>
        <v>6</v>
      </c>
    </row>
    <row r="353" spans="1:13" x14ac:dyDescent="0.3">
      <c r="A353">
        <v>1352</v>
      </c>
      <c r="B353" s="3">
        <v>45033.558799004626</v>
      </c>
      <c r="C353" s="1">
        <v>45033.558799004626</v>
      </c>
      <c r="D353" t="s">
        <v>106</v>
      </c>
      <c r="E353" t="s">
        <v>17</v>
      </c>
      <c r="F353" t="s">
        <v>24</v>
      </c>
      <c r="G353" t="s">
        <v>25</v>
      </c>
      <c r="H353">
        <v>2</v>
      </c>
      <c r="I353">
        <v>860</v>
      </c>
      <c r="J353">
        <v>1720</v>
      </c>
      <c r="K353" t="str">
        <f>TEXT(Table1[[#This Row],[Date]],"dddd")</f>
        <v>Monday</v>
      </c>
      <c r="L353" t="str">
        <f>TEXT(Table1[[#This Row],[Date]],"mmm-yyyy")</f>
        <v>Apr-2023</v>
      </c>
      <c r="M353">
        <f>HOUR(Table1[[#This Row],[Time]])</f>
        <v>13</v>
      </c>
    </row>
    <row r="354" spans="1:13" x14ac:dyDescent="0.3">
      <c r="A354">
        <v>1353</v>
      </c>
      <c r="B354" s="3">
        <v>45033.862385324072</v>
      </c>
      <c r="C354" s="1">
        <v>45033.862385324072</v>
      </c>
      <c r="D354" t="s">
        <v>136</v>
      </c>
      <c r="E354" t="s">
        <v>17</v>
      </c>
      <c r="F354" t="s">
        <v>24</v>
      </c>
      <c r="G354" t="s">
        <v>25</v>
      </c>
      <c r="H354">
        <v>1</v>
      </c>
      <c r="I354">
        <v>130</v>
      </c>
      <c r="J354">
        <v>130</v>
      </c>
      <c r="K354" t="str">
        <f>TEXT(Table1[[#This Row],[Date]],"dddd")</f>
        <v>Monday</v>
      </c>
      <c r="L354" t="str">
        <f>TEXT(Table1[[#This Row],[Date]],"mmm-yyyy")</f>
        <v>Apr-2023</v>
      </c>
      <c r="M354">
        <f>HOUR(Table1[[#This Row],[Time]])</f>
        <v>20</v>
      </c>
    </row>
    <row r="355" spans="1:13" x14ac:dyDescent="0.3">
      <c r="A355">
        <v>1354</v>
      </c>
      <c r="B355" s="3">
        <v>45034.165971643517</v>
      </c>
      <c r="C355" s="1">
        <v>45034.165971643517</v>
      </c>
      <c r="D355" t="s">
        <v>187</v>
      </c>
      <c r="E355" t="s">
        <v>10</v>
      </c>
      <c r="F355" t="s">
        <v>39</v>
      </c>
      <c r="G355" t="s">
        <v>35</v>
      </c>
      <c r="H355">
        <v>4</v>
      </c>
      <c r="I355">
        <v>634</v>
      </c>
      <c r="J355">
        <v>2536</v>
      </c>
      <c r="K355" t="str">
        <f>TEXT(Table1[[#This Row],[Date]],"dddd")</f>
        <v>Tuesday</v>
      </c>
      <c r="L355" t="str">
        <f>TEXT(Table1[[#This Row],[Date]],"mmm-yyyy")</f>
        <v>Apr-2023</v>
      </c>
      <c r="M355">
        <f>HOUR(Table1[[#This Row],[Time]])</f>
        <v>3</v>
      </c>
    </row>
    <row r="356" spans="1:13" x14ac:dyDescent="0.3">
      <c r="A356">
        <v>1355</v>
      </c>
      <c r="B356" s="3">
        <v>45034.469557962962</v>
      </c>
      <c r="C356" s="1">
        <v>45034.469557962962</v>
      </c>
      <c r="D356" t="s">
        <v>68</v>
      </c>
      <c r="E356" t="s">
        <v>10</v>
      </c>
      <c r="F356" t="s">
        <v>39</v>
      </c>
      <c r="G356" t="s">
        <v>25</v>
      </c>
      <c r="H356">
        <v>2</v>
      </c>
      <c r="I356">
        <v>525</v>
      </c>
      <c r="J356">
        <v>1050</v>
      </c>
      <c r="K356" t="str">
        <f>TEXT(Table1[[#This Row],[Date]],"dddd")</f>
        <v>Tuesday</v>
      </c>
      <c r="L356" t="str">
        <f>TEXT(Table1[[#This Row],[Date]],"mmm-yyyy")</f>
        <v>Apr-2023</v>
      </c>
      <c r="M356">
        <f>HOUR(Table1[[#This Row],[Time]])</f>
        <v>11</v>
      </c>
    </row>
    <row r="357" spans="1:13" x14ac:dyDescent="0.3">
      <c r="A357">
        <v>1356</v>
      </c>
      <c r="B357" s="3">
        <v>45034.773144282408</v>
      </c>
      <c r="C357" s="1">
        <v>45034.773144282408</v>
      </c>
      <c r="D357" t="s">
        <v>229</v>
      </c>
      <c r="E357" t="s">
        <v>10</v>
      </c>
      <c r="F357" t="s">
        <v>15</v>
      </c>
      <c r="G357" t="s">
        <v>40</v>
      </c>
      <c r="H357">
        <v>3</v>
      </c>
      <c r="I357">
        <v>493</v>
      </c>
      <c r="J357">
        <v>1479</v>
      </c>
      <c r="K357" t="str">
        <f>TEXT(Table1[[#This Row],[Date]],"dddd")</f>
        <v>Tuesday</v>
      </c>
      <c r="L357" t="str">
        <f>TEXT(Table1[[#This Row],[Date]],"mmm-yyyy")</f>
        <v>Apr-2023</v>
      </c>
      <c r="M357">
        <f>HOUR(Table1[[#This Row],[Time]])</f>
        <v>18</v>
      </c>
    </row>
    <row r="358" spans="1:13" x14ac:dyDescent="0.3">
      <c r="A358">
        <v>1357</v>
      </c>
      <c r="B358" s="3">
        <v>45035.076730613429</v>
      </c>
      <c r="C358" s="1">
        <v>45035.076730613429</v>
      </c>
      <c r="D358" t="s">
        <v>44</v>
      </c>
      <c r="E358" t="s">
        <v>28</v>
      </c>
      <c r="F358" t="s">
        <v>39</v>
      </c>
      <c r="G358" t="s">
        <v>25</v>
      </c>
      <c r="H358">
        <v>4</v>
      </c>
      <c r="I358">
        <v>771</v>
      </c>
      <c r="J358">
        <v>3084</v>
      </c>
      <c r="K358" t="str">
        <f>TEXT(Table1[[#This Row],[Date]],"dddd")</f>
        <v>Wednesday</v>
      </c>
      <c r="L358" t="str">
        <f>TEXT(Table1[[#This Row],[Date]],"mmm-yyyy")</f>
        <v>Apr-2023</v>
      </c>
      <c r="M358">
        <f>HOUR(Table1[[#This Row],[Time]])</f>
        <v>1</v>
      </c>
    </row>
    <row r="359" spans="1:13" x14ac:dyDescent="0.3">
      <c r="A359">
        <v>1358</v>
      </c>
      <c r="B359" s="3">
        <v>45035.380316932868</v>
      </c>
      <c r="C359" s="1">
        <v>45035.380316932868</v>
      </c>
      <c r="D359" t="s">
        <v>213</v>
      </c>
      <c r="E359" t="s">
        <v>14</v>
      </c>
      <c r="F359" t="s">
        <v>11</v>
      </c>
      <c r="G359" t="s">
        <v>25</v>
      </c>
      <c r="H359">
        <v>5</v>
      </c>
      <c r="I359">
        <v>462</v>
      </c>
      <c r="J359">
        <v>2310</v>
      </c>
      <c r="K359" t="str">
        <f>TEXT(Table1[[#This Row],[Date]],"dddd")</f>
        <v>Wednesday</v>
      </c>
      <c r="L359" t="str">
        <f>TEXT(Table1[[#This Row],[Date]],"mmm-yyyy")</f>
        <v>Apr-2023</v>
      </c>
      <c r="M359">
        <f>HOUR(Table1[[#This Row],[Time]])</f>
        <v>9</v>
      </c>
    </row>
    <row r="360" spans="1:13" x14ac:dyDescent="0.3">
      <c r="A360">
        <v>1359</v>
      </c>
      <c r="B360" s="3">
        <v>45035.683903252313</v>
      </c>
      <c r="C360" s="1">
        <v>45035.683903252313</v>
      </c>
      <c r="D360" t="s">
        <v>9</v>
      </c>
      <c r="E360" t="s">
        <v>14</v>
      </c>
      <c r="F360" t="s">
        <v>24</v>
      </c>
      <c r="G360" t="s">
        <v>22</v>
      </c>
      <c r="H360">
        <v>1</v>
      </c>
      <c r="I360">
        <v>536</v>
      </c>
      <c r="J360">
        <v>536</v>
      </c>
      <c r="K360" t="str">
        <f>TEXT(Table1[[#This Row],[Date]],"dddd")</f>
        <v>Wednesday</v>
      </c>
      <c r="L360" t="str">
        <f>TEXT(Table1[[#This Row],[Date]],"mmm-yyyy")</f>
        <v>Apr-2023</v>
      </c>
      <c r="M360">
        <f>HOUR(Table1[[#This Row],[Time]])</f>
        <v>16</v>
      </c>
    </row>
    <row r="361" spans="1:13" x14ac:dyDescent="0.3">
      <c r="A361">
        <v>1360</v>
      </c>
      <c r="B361" s="3">
        <v>45035.987489571758</v>
      </c>
      <c r="C361" s="1">
        <v>45035.987489571758</v>
      </c>
      <c r="D361" t="s">
        <v>186</v>
      </c>
      <c r="E361" t="s">
        <v>17</v>
      </c>
      <c r="F361" t="s">
        <v>18</v>
      </c>
      <c r="G361" t="s">
        <v>40</v>
      </c>
      <c r="H361">
        <v>5</v>
      </c>
      <c r="I361">
        <v>769</v>
      </c>
      <c r="J361">
        <v>3845</v>
      </c>
      <c r="K361" t="str">
        <f>TEXT(Table1[[#This Row],[Date]],"dddd")</f>
        <v>Wednesday</v>
      </c>
      <c r="L361" t="str">
        <f>TEXT(Table1[[#This Row],[Date]],"mmm-yyyy")</f>
        <v>Apr-2023</v>
      </c>
      <c r="M361">
        <f>HOUR(Table1[[#This Row],[Time]])</f>
        <v>23</v>
      </c>
    </row>
    <row r="362" spans="1:13" x14ac:dyDescent="0.3">
      <c r="A362">
        <v>1361</v>
      </c>
      <c r="B362" s="3">
        <v>45036.291075891204</v>
      </c>
      <c r="C362" s="1">
        <v>45036.291075891204</v>
      </c>
      <c r="D362" t="s">
        <v>230</v>
      </c>
      <c r="E362" t="s">
        <v>10</v>
      </c>
      <c r="F362" t="s">
        <v>18</v>
      </c>
      <c r="G362" t="s">
        <v>25</v>
      </c>
      <c r="H362">
        <v>4</v>
      </c>
      <c r="I362">
        <v>650</v>
      </c>
      <c r="J362">
        <v>2600</v>
      </c>
      <c r="K362" t="str">
        <f>TEXT(Table1[[#This Row],[Date]],"dddd")</f>
        <v>Thursday</v>
      </c>
      <c r="L362" t="str">
        <f>TEXT(Table1[[#This Row],[Date]],"mmm-yyyy")</f>
        <v>Apr-2023</v>
      </c>
      <c r="M362">
        <f>HOUR(Table1[[#This Row],[Time]])</f>
        <v>6</v>
      </c>
    </row>
    <row r="363" spans="1:13" x14ac:dyDescent="0.3">
      <c r="A363">
        <v>1362</v>
      </c>
      <c r="B363" s="3">
        <v>45036.594662222225</v>
      </c>
      <c r="C363" s="1">
        <v>45036.594662222225</v>
      </c>
      <c r="D363" t="s">
        <v>27</v>
      </c>
      <c r="E363" t="s">
        <v>28</v>
      </c>
      <c r="F363" t="s">
        <v>18</v>
      </c>
      <c r="G363" t="s">
        <v>42</v>
      </c>
      <c r="H363">
        <v>4</v>
      </c>
      <c r="I363">
        <v>181</v>
      </c>
      <c r="J363">
        <v>724</v>
      </c>
      <c r="K363" t="str">
        <f>TEXT(Table1[[#This Row],[Date]],"dddd")</f>
        <v>Thursday</v>
      </c>
      <c r="L363" t="str">
        <f>TEXT(Table1[[#This Row],[Date]],"mmm-yyyy")</f>
        <v>Apr-2023</v>
      </c>
      <c r="M363">
        <f>HOUR(Table1[[#This Row],[Time]])</f>
        <v>14</v>
      </c>
    </row>
    <row r="364" spans="1:13" x14ac:dyDescent="0.3">
      <c r="A364">
        <v>1363</v>
      </c>
      <c r="B364" s="3">
        <v>45036.898248541664</v>
      </c>
      <c r="C364" s="1">
        <v>45036.898248541664</v>
      </c>
      <c r="D364" t="s">
        <v>231</v>
      </c>
      <c r="E364" t="s">
        <v>14</v>
      </c>
      <c r="F364" t="s">
        <v>11</v>
      </c>
      <c r="G364" t="s">
        <v>40</v>
      </c>
      <c r="H364">
        <v>4</v>
      </c>
      <c r="I364">
        <v>455</v>
      </c>
      <c r="J364">
        <v>1820</v>
      </c>
      <c r="K364" t="str">
        <f>TEXT(Table1[[#This Row],[Date]],"dddd")</f>
        <v>Thursday</v>
      </c>
      <c r="L364" t="str">
        <f>TEXT(Table1[[#This Row],[Date]],"mmm-yyyy")</f>
        <v>Apr-2023</v>
      </c>
      <c r="M364">
        <f>HOUR(Table1[[#This Row],[Time]])</f>
        <v>21</v>
      </c>
    </row>
    <row r="365" spans="1:13" x14ac:dyDescent="0.3">
      <c r="A365">
        <v>1364</v>
      </c>
      <c r="B365" s="3">
        <v>45037.201834861109</v>
      </c>
      <c r="C365" s="1">
        <v>45037.201834861109</v>
      </c>
      <c r="D365" t="s">
        <v>81</v>
      </c>
      <c r="E365" t="s">
        <v>28</v>
      </c>
      <c r="F365" t="s">
        <v>18</v>
      </c>
      <c r="G365" t="s">
        <v>19</v>
      </c>
      <c r="H365">
        <v>5</v>
      </c>
      <c r="I365">
        <v>357</v>
      </c>
      <c r="J365">
        <v>1785</v>
      </c>
      <c r="K365" t="str">
        <f>TEXT(Table1[[#This Row],[Date]],"dddd")</f>
        <v>Friday</v>
      </c>
      <c r="L365" t="str">
        <f>TEXT(Table1[[#This Row],[Date]],"mmm-yyyy")</f>
        <v>Apr-2023</v>
      </c>
      <c r="M365">
        <f>HOUR(Table1[[#This Row],[Time]])</f>
        <v>4</v>
      </c>
    </row>
    <row r="366" spans="1:13" x14ac:dyDescent="0.3">
      <c r="A366">
        <v>1365</v>
      </c>
      <c r="B366" s="3">
        <v>45037.505421180555</v>
      </c>
      <c r="C366" s="1">
        <v>45037.505421180555</v>
      </c>
      <c r="D366" t="s">
        <v>109</v>
      </c>
      <c r="E366" t="s">
        <v>10</v>
      </c>
      <c r="F366" t="s">
        <v>18</v>
      </c>
      <c r="G366" t="s">
        <v>19</v>
      </c>
      <c r="H366">
        <v>4</v>
      </c>
      <c r="I366">
        <v>817</v>
      </c>
      <c r="J366">
        <v>3268</v>
      </c>
      <c r="K366" t="str">
        <f>TEXT(Table1[[#This Row],[Date]],"dddd")</f>
        <v>Friday</v>
      </c>
      <c r="L366" t="str">
        <f>TEXT(Table1[[#This Row],[Date]],"mmm-yyyy")</f>
        <v>Apr-2023</v>
      </c>
      <c r="M366">
        <f>HOUR(Table1[[#This Row],[Time]])</f>
        <v>12</v>
      </c>
    </row>
    <row r="367" spans="1:13" x14ac:dyDescent="0.3">
      <c r="A367">
        <v>1366</v>
      </c>
      <c r="B367" s="3">
        <v>45037.809007511576</v>
      </c>
      <c r="C367" s="1">
        <v>45037.809007511576</v>
      </c>
      <c r="D367" t="s">
        <v>68</v>
      </c>
      <c r="E367" t="s">
        <v>10</v>
      </c>
      <c r="F367" t="s">
        <v>15</v>
      </c>
      <c r="G367" t="s">
        <v>42</v>
      </c>
      <c r="H367">
        <v>5</v>
      </c>
      <c r="I367">
        <v>688</v>
      </c>
      <c r="J367">
        <v>3440</v>
      </c>
      <c r="K367" t="str">
        <f>TEXT(Table1[[#This Row],[Date]],"dddd")</f>
        <v>Friday</v>
      </c>
      <c r="L367" t="str">
        <f>TEXT(Table1[[#This Row],[Date]],"mmm-yyyy")</f>
        <v>Apr-2023</v>
      </c>
      <c r="M367">
        <f>HOUR(Table1[[#This Row],[Time]])</f>
        <v>19</v>
      </c>
    </row>
    <row r="368" spans="1:13" x14ac:dyDescent="0.3">
      <c r="A368">
        <v>1367</v>
      </c>
      <c r="B368" s="3">
        <v>45038.112593831022</v>
      </c>
      <c r="C368" s="1">
        <v>45038.112593831022</v>
      </c>
      <c r="D368" t="s">
        <v>232</v>
      </c>
      <c r="E368" t="s">
        <v>14</v>
      </c>
      <c r="F368" t="s">
        <v>11</v>
      </c>
      <c r="G368" t="s">
        <v>33</v>
      </c>
      <c r="H368">
        <v>4</v>
      </c>
      <c r="I368">
        <v>623</v>
      </c>
      <c r="J368">
        <v>2492</v>
      </c>
      <c r="K368" t="str">
        <f>TEXT(Table1[[#This Row],[Date]],"dddd")</f>
        <v>Saturday</v>
      </c>
      <c r="L368" t="str">
        <f>TEXT(Table1[[#This Row],[Date]],"mmm-yyyy")</f>
        <v>Apr-2023</v>
      </c>
      <c r="M368">
        <f>HOUR(Table1[[#This Row],[Time]])</f>
        <v>2</v>
      </c>
    </row>
    <row r="369" spans="1:13" x14ac:dyDescent="0.3">
      <c r="A369">
        <v>1368</v>
      </c>
      <c r="B369" s="3">
        <v>45038.41618015046</v>
      </c>
      <c r="C369" s="1">
        <v>45038.41618015046</v>
      </c>
      <c r="D369" t="s">
        <v>177</v>
      </c>
      <c r="E369" t="s">
        <v>17</v>
      </c>
      <c r="F369" t="s">
        <v>11</v>
      </c>
      <c r="G369" t="s">
        <v>33</v>
      </c>
      <c r="H369">
        <v>3</v>
      </c>
      <c r="I369">
        <v>394</v>
      </c>
      <c r="J369">
        <v>1182</v>
      </c>
      <c r="K369" t="str">
        <f>TEXT(Table1[[#This Row],[Date]],"dddd")</f>
        <v>Saturday</v>
      </c>
      <c r="L369" t="str">
        <f>TEXT(Table1[[#This Row],[Date]],"mmm-yyyy")</f>
        <v>Apr-2023</v>
      </c>
      <c r="M369">
        <f>HOUR(Table1[[#This Row],[Time]])</f>
        <v>9</v>
      </c>
    </row>
    <row r="370" spans="1:13" x14ac:dyDescent="0.3">
      <c r="A370">
        <v>1369</v>
      </c>
      <c r="B370" s="3">
        <v>45038.719766469905</v>
      </c>
      <c r="C370" s="1">
        <v>45038.719766469905</v>
      </c>
      <c r="D370" t="s">
        <v>151</v>
      </c>
      <c r="E370" t="s">
        <v>17</v>
      </c>
      <c r="F370" t="s">
        <v>18</v>
      </c>
      <c r="G370" t="s">
        <v>42</v>
      </c>
      <c r="H370">
        <v>4</v>
      </c>
      <c r="I370">
        <v>323</v>
      </c>
      <c r="J370">
        <v>1292</v>
      </c>
      <c r="K370" t="str">
        <f>TEXT(Table1[[#This Row],[Date]],"dddd")</f>
        <v>Saturday</v>
      </c>
      <c r="L370" t="str">
        <f>TEXT(Table1[[#This Row],[Date]],"mmm-yyyy")</f>
        <v>Apr-2023</v>
      </c>
      <c r="M370">
        <f>HOUR(Table1[[#This Row],[Time]])</f>
        <v>17</v>
      </c>
    </row>
    <row r="371" spans="1:13" x14ac:dyDescent="0.3">
      <c r="A371">
        <v>1370</v>
      </c>
      <c r="B371" s="3">
        <v>45039.023352789351</v>
      </c>
      <c r="C371" s="1">
        <v>45039.023352789351</v>
      </c>
      <c r="D371" t="s">
        <v>233</v>
      </c>
      <c r="E371" t="s">
        <v>10</v>
      </c>
      <c r="F371" t="s">
        <v>11</v>
      </c>
      <c r="G371" t="s">
        <v>40</v>
      </c>
      <c r="H371">
        <v>5</v>
      </c>
      <c r="I371">
        <v>624</v>
      </c>
      <c r="J371">
        <v>3120</v>
      </c>
      <c r="K371" t="str">
        <f>TEXT(Table1[[#This Row],[Date]],"dddd")</f>
        <v>Sunday</v>
      </c>
      <c r="L371" t="str">
        <f>TEXT(Table1[[#This Row],[Date]],"mmm-yyyy")</f>
        <v>Apr-2023</v>
      </c>
      <c r="M371">
        <f>HOUR(Table1[[#This Row],[Time]])</f>
        <v>0</v>
      </c>
    </row>
    <row r="372" spans="1:13" x14ac:dyDescent="0.3">
      <c r="A372">
        <v>1371</v>
      </c>
      <c r="B372" s="3">
        <v>45039.326939120372</v>
      </c>
      <c r="C372" s="1">
        <v>45039.326939120372</v>
      </c>
      <c r="D372" t="s">
        <v>143</v>
      </c>
      <c r="E372" t="s">
        <v>10</v>
      </c>
      <c r="F372" t="s">
        <v>15</v>
      </c>
      <c r="G372" t="s">
        <v>35</v>
      </c>
      <c r="H372">
        <v>2</v>
      </c>
      <c r="I372">
        <v>145</v>
      </c>
      <c r="J372">
        <v>290</v>
      </c>
      <c r="K372" t="str">
        <f>TEXT(Table1[[#This Row],[Date]],"dddd")</f>
        <v>Sunday</v>
      </c>
      <c r="L372" t="str">
        <f>TEXT(Table1[[#This Row],[Date]],"mmm-yyyy")</f>
        <v>Apr-2023</v>
      </c>
      <c r="M372">
        <f>HOUR(Table1[[#This Row],[Time]])</f>
        <v>7</v>
      </c>
    </row>
    <row r="373" spans="1:13" x14ac:dyDescent="0.3">
      <c r="A373">
        <v>1372</v>
      </c>
      <c r="B373" s="3">
        <v>45039.630525439818</v>
      </c>
      <c r="C373" s="1">
        <v>45039.630525439818</v>
      </c>
      <c r="D373" t="s">
        <v>79</v>
      </c>
      <c r="E373" t="s">
        <v>17</v>
      </c>
      <c r="F373" t="s">
        <v>15</v>
      </c>
      <c r="G373" t="s">
        <v>35</v>
      </c>
      <c r="H373">
        <v>4</v>
      </c>
      <c r="I373">
        <v>766</v>
      </c>
      <c r="J373">
        <v>3064</v>
      </c>
      <c r="K373" t="str">
        <f>TEXT(Table1[[#This Row],[Date]],"dddd")</f>
        <v>Sunday</v>
      </c>
      <c r="L373" t="str">
        <f>TEXT(Table1[[#This Row],[Date]],"mmm-yyyy")</f>
        <v>Apr-2023</v>
      </c>
      <c r="M373">
        <f>HOUR(Table1[[#This Row],[Time]])</f>
        <v>15</v>
      </c>
    </row>
    <row r="374" spans="1:13" x14ac:dyDescent="0.3">
      <c r="A374">
        <v>1373</v>
      </c>
      <c r="B374" s="3">
        <v>45039.934111759256</v>
      </c>
      <c r="C374" s="1">
        <v>45039.934111759256</v>
      </c>
      <c r="D374" t="s">
        <v>206</v>
      </c>
      <c r="E374" t="s">
        <v>10</v>
      </c>
      <c r="F374" t="s">
        <v>24</v>
      </c>
      <c r="G374" t="s">
        <v>12</v>
      </c>
      <c r="H374">
        <v>2</v>
      </c>
      <c r="I374">
        <v>212</v>
      </c>
      <c r="J374">
        <v>424</v>
      </c>
      <c r="K374" t="str">
        <f>TEXT(Table1[[#This Row],[Date]],"dddd")</f>
        <v>Sunday</v>
      </c>
      <c r="L374" t="str">
        <f>TEXT(Table1[[#This Row],[Date]],"mmm-yyyy")</f>
        <v>Apr-2023</v>
      </c>
      <c r="M374">
        <f>HOUR(Table1[[#This Row],[Time]])</f>
        <v>22</v>
      </c>
    </row>
    <row r="375" spans="1:13" x14ac:dyDescent="0.3">
      <c r="A375">
        <v>1374</v>
      </c>
      <c r="B375" s="3">
        <v>45040.237698078701</v>
      </c>
      <c r="C375" s="1">
        <v>45040.237698078701</v>
      </c>
      <c r="D375" t="s">
        <v>59</v>
      </c>
      <c r="E375" t="s">
        <v>14</v>
      </c>
      <c r="F375" t="s">
        <v>15</v>
      </c>
      <c r="G375" t="s">
        <v>33</v>
      </c>
      <c r="H375">
        <v>3</v>
      </c>
      <c r="I375">
        <v>332</v>
      </c>
      <c r="J375">
        <v>996</v>
      </c>
      <c r="K375" t="str">
        <f>TEXT(Table1[[#This Row],[Date]],"dddd")</f>
        <v>Monday</v>
      </c>
      <c r="L375" t="str">
        <f>TEXT(Table1[[#This Row],[Date]],"mmm-yyyy")</f>
        <v>Apr-2023</v>
      </c>
      <c r="M375">
        <f>HOUR(Table1[[#This Row],[Time]])</f>
        <v>5</v>
      </c>
    </row>
    <row r="376" spans="1:13" x14ac:dyDescent="0.3">
      <c r="A376">
        <v>1375</v>
      </c>
      <c r="B376" s="3">
        <v>45040.541284398147</v>
      </c>
      <c r="C376" s="1">
        <v>45040.541284398147</v>
      </c>
      <c r="D376" t="s">
        <v>83</v>
      </c>
      <c r="E376" t="s">
        <v>14</v>
      </c>
      <c r="F376" t="s">
        <v>24</v>
      </c>
      <c r="G376" t="s">
        <v>33</v>
      </c>
      <c r="H376">
        <v>1</v>
      </c>
      <c r="I376">
        <v>116</v>
      </c>
      <c r="J376">
        <v>116</v>
      </c>
      <c r="K376" t="str">
        <f>TEXT(Table1[[#This Row],[Date]],"dddd")</f>
        <v>Monday</v>
      </c>
      <c r="L376" t="str">
        <f>TEXT(Table1[[#This Row],[Date]],"mmm-yyyy")</f>
        <v>Apr-2023</v>
      </c>
      <c r="M376">
        <f>HOUR(Table1[[#This Row],[Time]])</f>
        <v>12</v>
      </c>
    </row>
    <row r="377" spans="1:13" x14ac:dyDescent="0.3">
      <c r="A377">
        <v>1376</v>
      </c>
      <c r="B377" s="3">
        <v>45040.844870729168</v>
      </c>
      <c r="C377" s="1">
        <v>45040.844870729168</v>
      </c>
      <c r="D377" t="s">
        <v>184</v>
      </c>
      <c r="E377" t="s">
        <v>28</v>
      </c>
      <c r="F377" t="s">
        <v>18</v>
      </c>
      <c r="G377" t="s">
        <v>29</v>
      </c>
      <c r="H377">
        <v>3</v>
      </c>
      <c r="I377">
        <v>459</v>
      </c>
      <c r="J377">
        <v>1377</v>
      </c>
      <c r="K377" t="str">
        <f>TEXT(Table1[[#This Row],[Date]],"dddd")</f>
        <v>Monday</v>
      </c>
      <c r="L377" t="str">
        <f>TEXT(Table1[[#This Row],[Date]],"mmm-yyyy")</f>
        <v>Apr-2023</v>
      </c>
      <c r="M377">
        <f>HOUR(Table1[[#This Row],[Time]])</f>
        <v>20</v>
      </c>
    </row>
    <row r="378" spans="1:13" x14ac:dyDescent="0.3">
      <c r="A378">
        <v>1377</v>
      </c>
      <c r="B378" s="3">
        <v>45041.148457048614</v>
      </c>
      <c r="C378" s="1">
        <v>45041.148457048614</v>
      </c>
      <c r="D378" t="s">
        <v>26</v>
      </c>
      <c r="E378" t="s">
        <v>17</v>
      </c>
      <c r="F378" t="s">
        <v>24</v>
      </c>
      <c r="G378" t="s">
        <v>25</v>
      </c>
      <c r="H378">
        <v>4</v>
      </c>
      <c r="I378">
        <v>322</v>
      </c>
      <c r="J378">
        <v>1288</v>
      </c>
      <c r="K378" t="str">
        <f>TEXT(Table1[[#This Row],[Date]],"dddd")</f>
        <v>Tuesday</v>
      </c>
      <c r="L378" t="str">
        <f>TEXT(Table1[[#This Row],[Date]],"mmm-yyyy")</f>
        <v>Apr-2023</v>
      </c>
      <c r="M378">
        <f>HOUR(Table1[[#This Row],[Time]])</f>
        <v>3</v>
      </c>
    </row>
    <row r="379" spans="1:13" x14ac:dyDescent="0.3">
      <c r="A379">
        <v>1378</v>
      </c>
      <c r="B379" s="3">
        <v>45041.452043368059</v>
      </c>
      <c r="C379" s="1">
        <v>45041.452043368059</v>
      </c>
      <c r="D379" t="s">
        <v>82</v>
      </c>
      <c r="E379" t="s">
        <v>10</v>
      </c>
      <c r="F379" t="s">
        <v>24</v>
      </c>
      <c r="G379" t="s">
        <v>22</v>
      </c>
      <c r="H379">
        <v>2</v>
      </c>
      <c r="I379">
        <v>965</v>
      </c>
      <c r="J379">
        <v>1930</v>
      </c>
      <c r="K379" t="str">
        <f>TEXT(Table1[[#This Row],[Date]],"dddd")</f>
        <v>Tuesday</v>
      </c>
      <c r="L379" t="str">
        <f>TEXT(Table1[[#This Row],[Date]],"mmm-yyyy")</f>
        <v>Apr-2023</v>
      </c>
      <c r="M379">
        <f>HOUR(Table1[[#This Row],[Time]])</f>
        <v>10</v>
      </c>
    </row>
    <row r="380" spans="1:13" x14ac:dyDescent="0.3">
      <c r="A380">
        <v>1379</v>
      </c>
      <c r="B380" s="3">
        <v>45041.755629687497</v>
      </c>
      <c r="C380" s="1">
        <v>45041.755629687497</v>
      </c>
      <c r="D380" t="s">
        <v>234</v>
      </c>
      <c r="E380" t="s">
        <v>28</v>
      </c>
      <c r="F380" t="s">
        <v>18</v>
      </c>
      <c r="G380" t="s">
        <v>22</v>
      </c>
      <c r="H380">
        <v>2</v>
      </c>
      <c r="I380">
        <v>799</v>
      </c>
      <c r="J380">
        <v>1598</v>
      </c>
      <c r="K380" t="str">
        <f>TEXT(Table1[[#This Row],[Date]],"dddd")</f>
        <v>Tuesday</v>
      </c>
      <c r="L380" t="str">
        <f>TEXT(Table1[[#This Row],[Date]],"mmm-yyyy")</f>
        <v>Apr-2023</v>
      </c>
      <c r="M380">
        <f>HOUR(Table1[[#This Row],[Time]])</f>
        <v>18</v>
      </c>
    </row>
    <row r="381" spans="1:13" x14ac:dyDescent="0.3">
      <c r="A381">
        <v>1380</v>
      </c>
      <c r="B381" s="3">
        <v>45042.059216018519</v>
      </c>
      <c r="C381" s="1">
        <v>45042.059216018519</v>
      </c>
      <c r="D381" t="s">
        <v>174</v>
      </c>
      <c r="E381" t="s">
        <v>14</v>
      </c>
      <c r="F381" t="s">
        <v>24</v>
      </c>
      <c r="G381" t="s">
        <v>42</v>
      </c>
      <c r="H381">
        <v>5</v>
      </c>
      <c r="I381">
        <v>547</v>
      </c>
      <c r="J381">
        <v>2735</v>
      </c>
      <c r="K381" t="str">
        <f>TEXT(Table1[[#This Row],[Date]],"dddd")</f>
        <v>Wednesday</v>
      </c>
      <c r="L381" t="str">
        <f>TEXT(Table1[[#This Row],[Date]],"mmm-yyyy")</f>
        <v>Apr-2023</v>
      </c>
      <c r="M381">
        <f>HOUR(Table1[[#This Row],[Time]])</f>
        <v>1</v>
      </c>
    </row>
    <row r="382" spans="1:13" x14ac:dyDescent="0.3">
      <c r="A382">
        <v>1381</v>
      </c>
      <c r="B382" s="3">
        <v>45042.362802337964</v>
      </c>
      <c r="C382" s="1">
        <v>45042.362802337964</v>
      </c>
      <c r="D382" t="s">
        <v>53</v>
      </c>
      <c r="E382" t="s">
        <v>17</v>
      </c>
      <c r="F382" t="s">
        <v>15</v>
      </c>
      <c r="G382" t="s">
        <v>29</v>
      </c>
      <c r="H382">
        <v>2</v>
      </c>
      <c r="I382">
        <v>955</v>
      </c>
      <c r="J382">
        <v>1910</v>
      </c>
      <c r="K382" t="str">
        <f>TEXT(Table1[[#This Row],[Date]],"dddd")</f>
        <v>Wednesday</v>
      </c>
      <c r="L382" t="str">
        <f>TEXT(Table1[[#This Row],[Date]],"mmm-yyyy")</f>
        <v>Apr-2023</v>
      </c>
      <c r="M382">
        <f>HOUR(Table1[[#This Row],[Time]])</f>
        <v>8</v>
      </c>
    </row>
    <row r="383" spans="1:13" x14ac:dyDescent="0.3">
      <c r="A383">
        <v>1382</v>
      </c>
      <c r="B383" s="3">
        <v>45042.66638865741</v>
      </c>
      <c r="C383" s="1">
        <v>45042.66638865741</v>
      </c>
      <c r="D383" t="s">
        <v>168</v>
      </c>
      <c r="E383" t="s">
        <v>14</v>
      </c>
      <c r="F383" t="s">
        <v>18</v>
      </c>
      <c r="G383" t="s">
        <v>25</v>
      </c>
      <c r="H383">
        <v>5</v>
      </c>
      <c r="I383">
        <v>464</v>
      </c>
      <c r="J383">
        <v>2320</v>
      </c>
      <c r="K383" t="str">
        <f>TEXT(Table1[[#This Row],[Date]],"dddd")</f>
        <v>Wednesday</v>
      </c>
      <c r="L383" t="str">
        <f>TEXT(Table1[[#This Row],[Date]],"mmm-yyyy")</f>
        <v>Apr-2023</v>
      </c>
      <c r="M383">
        <f>HOUR(Table1[[#This Row],[Time]])</f>
        <v>15</v>
      </c>
    </row>
    <row r="384" spans="1:13" x14ac:dyDescent="0.3">
      <c r="A384">
        <v>1383</v>
      </c>
      <c r="B384" s="3">
        <v>45042.969974976855</v>
      </c>
      <c r="C384" s="1">
        <v>45042.969974976855</v>
      </c>
      <c r="D384" t="s">
        <v>80</v>
      </c>
      <c r="E384" t="s">
        <v>10</v>
      </c>
      <c r="F384" t="s">
        <v>11</v>
      </c>
      <c r="G384" t="s">
        <v>22</v>
      </c>
      <c r="H384">
        <v>1</v>
      </c>
      <c r="I384">
        <v>774</v>
      </c>
      <c r="J384">
        <v>774</v>
      </c>
      <c r="K384" t="str">
        <f>TEXT(Table1[[#This Row],[Date]],"dddd")</f>
        <v>Wednesday</v>
      </c>
      <c r="L384" t="str">
        <f>TEXT(Table1[[#This Row],[Date]],"mmm-yyyy")</f>
        <v>Apr-2023</v>
      </c>
      <c r="M384">
        <f>HOUR(Table1[[#This Row],[Time]])</f>
        <v>23</v>
      </c>
    </row>
    <row r="385" spans="1:13" x14ac:dyDescent="0.3">
      <c r="A385">
        <v>1384</v>
      </c>
      <c r="B385" s="3">
        <v>45043.273561296293</v>
      </c>
      <c r="C385" s="1">
        <v>45043.273561296293</v>
      </c>
      <c r="D385" t="s">
        <v>235</v>
      </c>
      <c r="E385" t="s">
        <v>28</v>
      </c>
      <c r="F385" t="s">
        <v>24</v>
      </c>
      <c r="G385" t="s">
        <v>33</v>
      </c>
      <c r="H385">
        <v>4</v>
      </c>
      <c r="I385">
        <v>425</v>
      </c>
      <c r="J385">
        <v>1700</v>
      </c>
      <c r="K385" t="str">
        <f>TEXT(Table1[[#This Row],[Date]],"dddd")</f>
        <v>Thursday</v>
      </c>
      <c r="L385" t="str">
        <f>TEXT(Table1[[#This Row],[Date]],"mmm-yyyy")</f>
        <v>Apr-2023</v>
      </c>
      <c r="M385">
        <f>HOUR(Table1[[#This Row],[Time]])</f>
        <v>6</v>
      </c>
    </row>
    <row r="386" spans="1:13" x14ac:dyDescent="0.3">
      <c r="A386">
        <v>1385</v>
      </c>
      <c r="B386" s="3">
        <v>45043.577147627315</v>
      </c>
      <c r="C386" s="1">
        <v>45043.577147627315</v>
      </c>
      <c r="D386" t="s">
        <v>236</v>
      </c>
      <c r="E386" t="s">
        <v>10</v>
      </c>
      <c r="F386" t="s">
        <v>15</v>
      </c>
      <c r="G386" t="s">
        <v>35</v>
      </c>
      <c r="H386">
        <v>5</v>
      </c>
      <c r="I386">
        <v>566</v>
      </c>
      <c r="J386">
        <v>2830</v>
      </c>
      <c r="K386" t="str">
        <f>TEXT(Table1[[#This Row],[Date]],"dddd")</f>
        <v>Thursday</v>
      </c>
      <c r="L386" t="str">
        <f>TEXT(Table1[[#This Row],[Date]],"mmm-yyyy")</f>
        <v>Apr-2023</v>
      </c>
      <c r="M386">
        <f>HOUR(Table1[[#This Row],[Time]])</f>
        <v>13</v>
      </c>
    </row>
    <row r="387" spans="1:13" x14ac:dyDescent="0.3">
      <c r="A387">
        <v>1386</v>
      </c>
      <c r="B387" s="3">
        <v>45043.88073394676</v>
      </c>
      <c r="C387" s="1">
        <v>45043.88073394676</v>
      </c>
      <c r="D387" t="s">
        <v>13</v>
      </c>
      <c r="E387" t="s">
        <v>10</v>
      </c>
      <c r="F387" t="s">
        <v>11</v>
      </c>
      <c r="G387" t="s">
        <v>35</v>
      </c>
      <c r="H387">
        <v>1</v>
      </c>
      <c r="I387">
        <v>513</v>
      </c>
      <c r="J387">
        <v>513</v>
      </c>
      <c r="K387" t="str">
        <f>TEXT(Table1[[#This Row],[Date]],"dddd")</f>
        <v>Thursday</v>
      </c>
      <c r="L387" t="str">
        <f>TEXT(Table1[[#This Row],[Date]],"mmm-yyyy")</f>
        <v>Apr-2023</v>
      </c>
      <c r="M387">
        <f>HOUR(Table1[[#This Row],[Time]])</f>
        <v>21</v>
      </c>
    </row>
    <row r="388" spans="1:13" x14ac:dyDescent="0.3">
      <c r="A388">
        <v>1387</v>
      </c>
      <c r="B388" s="3">
        <v>45044.184320266206</v>
      </c>
      <c r="C388" s="1">
        <v>45044.184320266206</v>
      </c>
      <c r="D388" t="s">
        <v>131</v>
      </c>
      <c r="E388" t="s">
        <v>17</v>
      </c>
      <c r="F388" t="s">
        <v>18</v>
      </c>
      <c r="G388" t="s">
        <v>25</v>
      </c>
      <c r="H388">
        <v>2</v>
      </c>
      <c r="I388">
        <v>554</v>
      </c>
      <c r="J388">
        <v>1108</v>
      </c>
      <c r="K388" t="str">
        <f>TEXT(Table1[[#This Row],[Date]],"dddd")</f>
        <v>Friday</v>
      </c>
      <c r="L388" t="str">
        <f>TEXT(Table1[[#This Row],[Date]],"mmm-yyyy")</f>
        <v>Apr-2023</v>
      </c>
      <c r="M388">
        <f>HOUR(Table1[[#This Row],[Time]])</f>
        <v>4</v>
      </c>
    </row>
    <row r="389" spans="1:13" x14ac:dyDescent="0.3">
      <c r="A389">
        <v>1388</v>
      </c>
      <c r="B389" s="3">
        <v>45044.487906585651</v>
      </c>
      <c r="C389" s="1">
        <v>45044.487906585651</v>
      </c>
      <c r="D389" t="s">
        <v>227</v>
      </c>
      <c r="E389" t="s">
        <v>17</v>
      </c>
      <c r="F389" t="s">
        <v>18</v>
      </c>
      <c r="G389" t="s">
        <v>22</v>
      </c>
      <c r="H389">
        <v>2</v>
      </c>
      <c r="I389">
        <v>685</v>
      </c>
      <c r="J389">
        <v>1370</v>
      </c>
      <c r="K389" t="str">
        <f>TEXT(Table1[[#This Row],[Date]],"dddd")</f>
        <v>Friday</v>
      </c>
      <c r="L389" t="str">
        <f>TEXT(Table1[[#This Row],[Date]],"mmm-yyyy")</f>
        <v>Apr-2023</v>
      </c>
      <c r="M389">
        <f>HOUR(Table1[[#This Row],[Time]])</f>
        <v>11</v>
      </c>
    </row>
    <row r="390" spans="1:13" x14ac:dyDescent="0.3">
      <c r="A390">
        <v>1389</v>
      </c>
      <c r="B390" s="3">
        <v>45044.791492905089</v>
      </c>
      <c r="C390" s="1">
        <v>45044.791492905089</v>
      </c>
      <c r="D390" t="s">
        <v>178</v>
      </c>
      <c r="E390" t="s">
        <v>10</v>
      </c>
      <c r="F390" t="s">
        <v>18</v>
      </c>
      <c r="G390" t="s">
        <v>25</v>
      </c>
      <c r="H390">
        <v>1</v>
      </c>
      <c r="I390">
        <v>332</v>
      </c>
      <c r="J390">
        <v>332</v>
      </c>
      <c r="K390" t="str">
        <f>TEXT(Table1[[#This Row],[Date]],"dddd")</f>
        <v>Friday</v>
      </c>
      <c r="L390" t="str">
        <f>TEXT(Table1[[#This Row],[Date]],"mmm-yyyy")</f>
        <v>Apr-2023</v>
      </c>
      <c r="M390">
        <f>HOUR(Table1[[#This Row],[Time]])</f>
        <v>18</v>
      </c>
    </row>
    <row r="391" spans="1:13" x14ac:dyDescent="0.3">
      <c r="A391">
        <v>1390</v>
      </c>
      <c r="B391" s="3">
        <v>45045.095079236111</v>
      </c>
      <c r="C391" s="1">
        <v>45045.095079236111</v>
      </c>
      <c r="D391" t="s">
        <v>184</v>
      </c>
      <c r="E391" t="s">
        <v>17</v>
      </c>
      <c r="F391" t="s">
        <v>15</v>
      </c>
      <c r="G391" t="s">
        <v>40</v>
      </c>
      <c r="H391">
        <v>2</v>
      </c>
      <c r="I391">
        <v>323</v>
      </c>
      <c r="J391">
        <v>646</v>
      </c>
      <c r="K391" t="str">
        <f>TEXT(Table1[[#This Row],[Date]],"dddd")</f>
        <v>Saturday</v>
      </c>
      <c r="L391" t="str">
        <f>TEXT(Table1[[#This Row],[Date]],"mmm-yyyy")</f>
        <v>Apr-2023</v>
      </c>
      <c r="M391">
        <f>HOUR(Table1[[#This Row],[Time]])</f>
        <v>2</v>
      </c>
    </row>
    <row r="392" spans="1:13" x14ac:dyDescent="0.3">
      <c r="A392">
        <v>1391</v>
      </c>
      <c r="B392" s="3">
        <v>45045.398665555556</v>
      </c>
      <c r="C392" s="1">
        <v>45045.398665555556</v>
      </c>
      <c r="D392" t="s">
        <v>84</v>
      </c>
      <c r="E392" t="s">
        <v>28</v>
      </c>
      <c r="F392" t="s">
        <v>11</v>
      </c>
      <c r="G392" t="s">
        <v>40</v>
      </c>
      <c r="H392">
        <v>1</v>
      </c>
      <c r="I392">
        <v>930</v>
      </c>
      <c r="J392">
        <v>930</v>
      </c>
      <c r="K392" t="str">
        <f>TEXT(Table1[[#This Row],[Date]],"dddd")</f>
        <v>Saturday</v>
      </c>
      <c r="L392" t="str">
        <f>TEXT(Table1[[#This Row],[Date]],"mmm-yyyy")</f>
        <v>Apr-2023</v>
      </c>
      <c r="M392">
        <f>HOUR(Table1[[#This Row],[Time]])</f>
        <v>9</v>
      </c>
    </row>
    <row r="393" spans="1:13" x14ac:dyDescent="0.3">
      <c r="A393">
        <v>1392</v>
      </c>
      <c r="B393" s="3">
        <v>45045.702251875002</v>
      </c>
      <c r="C393" s="1">
        <v>45045.702251875002</v>
      </c>
      <c r="D393" t="s">
        <v>51</v>
      </c>
      <c r="E393" t="s">
        <v>28</v>
      </c>
      <c r="F393" t="s">
        <v>18</v>
      </c>
      <c r="G393" t="s">
        <v>29</v>
      </c>
      <c r="H393">
        <v>5</v>
      </c>
      <c r="I393">
        <v>511</v>
      </c>
      <c r="J393">
        <v>2555</v>
      </c>
      <c r="K393" t="str">
        <f>TEXT(Table1[[#This Row],[Date]],"dddd")</f>
        <v>Saturday</v>
      </c>
      <c r="L393" t="str">
        <f>TEXT(Table1[[#This Row],[Date]],"mmm-yyyy")</f>
        <v>Apr-2023</v>
      </c>
      <c r="M393">
        <f>HOUR(Table1[[#This Row],[Time]])</f>
        <v>16</v>
      </c>
    </row>
    <row r="394" spans="1:13" x14ac:dyDescent="0.3">
      <c r="A394">
        <v>1393</v>
      </c>
      <c r="B394" s="3">
        <v>45046.005838194447</v>
      </c>
      <c r="C394" s="1">
        <v>45046.005838194447</v>
      </c>
      <c r="D394" t="s">
        <v>183</v>
      </c>
      <c r="E394" t="s">
        <v>10</v>
      </c>
      <c r="F394" t="s">
        <v>15</v>
      </c>
      <c r="G394" t="s">
        <v>42</v>
      </c>
      <c r="H394">
        <v>5</v>
      </c>
      <c r="I394">
        <v>671</v>
      </c>
      <c r="J394">
        <v>3355</v>
      </c>
      <c r="K394" t="str">
        <f>TEXT(Table1[[#This Row],[Date]],"dddd")</f>
        <v>Sunday</v>
      </c>
      <c r="L394" t="str">
        <f>TEXT(Table1[[#This Row],[Date]],"mmm-yyyy")</f>
        <v>Apr-2023</v>
      </c>
      <c r="M394">
        <f>HOUR(Table1[[#This Row],[Time]])</f>
        <v>0</v>
      </c>
    </row>
    <row r="395" spans="1:13" x14ac:dyDescent="0.3">
      <c r="A395">
        <v>1394</v>
      </c>
      <c r="B395" s="3">
        <v>45046.309424525462</v>
      </c>
      <c r="C395" s="1">
        <v>45046.309424525462</v>
      </c>
      <c r="D395" t="s">
        <v>120</v>
      </c>
      <c r="E395" t="s">
        <v>28</v>
      </c>
      <c r="F395" t="s">
        <v>39</v>
      </c>
      <c r="G395" t="s">
        <v>22</v>
      </c>
      <c r="H395">
        <v>1</v>
      </c>
      <c r="I395">
        <v>434</v>
      </c>
      <c r="J395">
        <v>434</v>
      </c>
      <c r="K395" t="str">
        <f>TEXT(Table1[[#This Row],[Date]],"dddd")</f>
        <v>Sunday</v>
      </c>
      <c r="L395" t="str">
        <f>TEXT(Table1[[#This Row],[Date]],"mmm-yyyy")</f>
        <v>Apr-2023</v>
      </c>
      <c r="M395">
        <f>HOUR(Table1[[#This Row],[Time]])</f>
        <v>7</v>
      </c>
    </row>
    <row r="396" spans="1:13" x14ac:dyDescent="0.3">
      <c r="A396">
        <v>1395</v>
      </c>
      <c r="B396" s="3">
        <v>45046.613010844907</v>
      </c>
      <c r="C396" s="1">
        <v>45046.613010844907</v>
      </c>
      <c r="D396" t="s">
        <v>237</v>
      </c>
      <c r="E396" t="s">
        <v>10</v>
      </c>
      <c r="F396" t="s">
        <v>15</v>
      </c>
      <c r="G396" t="s">
        <v>22</v>
      </c>
      <c r="H396">
        <v>5</v>
      </c>
      <c r="I396">
        <v>321</v>
      </c>
      <c r="J396">
        <v>1605</v>
      </c>
      <c r="K396" t="str">
        <f>TEXT(Table1[[#This Row],[Date]],"dddd")</f>
        <v>Sunday</v>
      </c>
      <c r="L396" t="str">
        <f>TEXT(Table1[[#This Row],[Date]],"mmm-yyyy")</f>
        <v>Apr-2023</v>
      </c>
      <c r="M396">
        <f>HOUR(Table1[[#This Row],[Time]])</f>
        <v>14</v>
      </c>
    </row>
    <row r="397" spans="1:13" x14ac:dyDescent="0.3">
      <c r="A397">
        <v>1396</v>
      </c>
      <c r="B397" s="3">
        <v>45046.916597164352</v>
      </c>
      <c r="C397" s="1">
        <v>45046.916597164352</v>
      </c>
      <c r="D397" t="s">
        <v>238</v>
      </c>
      <c r="E397" t="s">
        <v>28</v>
      </c>
      <c r="F397" t="s">
        <v>39</v>
      </c>
      <c r="G397" t="s">
        <v>12</v>
      </c>
      <c r="H397">
        <v>5</v>
      </c>
      <c r="I397">
        <v>136</v>
      </c>
      <c r="J397">
        <v>680</v>
      </c>
      <c r="K397" t="str">
        <f>TEXT(Table1[[#This Row],[Date]],"dddd")</f>
        <v>Sunday</v>
      </c>
      <c r="L397" t="str">
        <f>TEXT(Table1[[#This Row],[Date]],"mmm-yyyy")</f>
        <v>Apr-2023</v>
      </c>
      <c r="M397">
        <f>HOUR(Table1[[#This Row],[Time]])</f>
        <v>21</v>
      </c>
    </row>
    <row r="398" spans="1:13" x14ac:dyDescent="0.3">
      <c r="A398">
        <v>1397</v>
      </c>
      <c r="B398" s="3">
        <v>45047.220183483798</v>
      </c>
      <c r="C398" s="1">
        <v>45047.220183483798</v>
      </c>
      <c r="D398" t="s">
        <v>239</v>
      </c>
      <c r="E398" t="s">
        <v>14</v>
      </c>
      <c r="F398" t="s">
        <v>11</v>
      </c>
      <c r="G398" t="s">
        <v>33</v>
      </c>
      <c r="H398">
        <v>5</v>
      </c>
      <c r="I398">
        <v>377</v>
      </c>
      <c r="J398">
        <v>1885</v>
      </c>
      <c r="K398" t="str">
        <f>TEXT(Table1[[#This Row],[Date]],"dddd")</f>
        <v>Monday</v>
      </c>
      <c r="L398" t="str">
        <f>TEXT(Table1[[#This Row],[Date]],"mmm-yyyy")</f>
        <v>May-2023</v>
      </c>
      <c r="M398">
        <f>HOUR(Table1[[#This Row],[Time]])</f>
        <v>5</v>
      </c>
    </row>
    <row r="399" spans="1:13" x14ac:dyDescent="0.3">
      <c r="A399">
        <v>1398</v>
      </c>
      <c r="B399" s="3">
        <v>45047.523769803243</v>
      </c>
      <c r="C399" s="1">
        <v>45047.523769803243</v>
      </c>
      <c r="D399" t="s">
        <v>155</v>
      </c>
      <c r="E399" t="s">
        <v>10</v>
      </c>
      <c r="F399" t="s">
        <v>18</v>
      </c>
      <c r="G399" t="s">
        <v>33</v>
      </c>
      <c r="H399">
        <v>3</v>
      </c>
      <c r="I399">
        <v>295</v>
      </c>
      <c r="J399">
        <v>885</v>
      </c>
      <c r="K399" t="str">
        <f>TEXT(Table1[[#This Row],[Date]],"dddd")</f>
        <v>Monday</v>
      </c>
      <c r="L399" t="str">
        <f>TEXT(Table1[[#This Row],[Date]],"mmm-yyyy")</f>
        <v>May-2023</v>
      </c>
      <c r="M399">
        <f>HOUR(Table1[[#This Row],[Time]])</f>
        <v>12</v>
      </c>
    </row>
    <row r="400" spans="1:13" x14ac:dyDescent="0.3">
      <c r="A400">
        <v>1399</v>
      </c>
      <c r="B400" s="3">
        <v>45047.827356134258</v>
      </c>
      <c r="C400" s="1">
        <v>45047.827356134258</v>
      </c>
      <c r="D400" t="s">
        <v>63</v>
      </c>
      <c r="E400" t="s">
        <v>28</v>
      </c>
      <c r="F400" t="s">
        <v>18</v>
      </c>
      <c r="G400" t="s">
        <v>22</v>
      </c>
      <c r="H400">
        <v>4</v>
      </c>
      <c r="I400">
        <v>963</v>
      </c>
      <c r="J400">
        <v>3852</v>
      </c>
      <c r="K400" t="str">
        <f>TEXT(Table1[[#This Row],[Date]],"dddd")</f>
        <v>Monday</v>
      </c>
      <c r="L400" t="str">
        <f>TEXT(Table1[[#This Row],[Date]],"mmm-yyyy")</f>
        <v>May-2023</v>
      </c>
      <c r="M400">
        <f>HOUR(Table1[[#This Row],[Time]])</f>
        <v>19</v>
      </c>
    </row>
    <row r="401" spans="1:13" x14ac:dyDescent="0.3">
      <c r="A401">
        <v>1400</v>
      </c>
      <c r="B401" s="3">
        <v>45048.130942453703</v>
      </c>
      <c r="C401" s="1">
        <v>45048.130942453703</v>
      </c>
      <c r="D401" t="s">
        <v>240</v>
      </c>
      <c r="E401" t="s">
        <v>14</v>
      </c>
      <c r="F401" t="s">
        <v>24</v>
      </c>
      <c r="G401" t="s">
        <v>40</v>
      </c>
      <c r="H401">
        <v>2</v>
      </c>
      <c r="I401">
        <v>583</v>
      </c>
      <c r="J401">
        <v>1166</v>
      </c>
      <c r="K401" t="str">
        <f>TEXT(Table1[[#This Row],[Date]],"dddd")</f>
        <v>Tuesday</v>
      </c>
      <c r="L401" t="str">
        <f>TEXT(Table1[[#This Row],[Date]],"mmm-yyyy")</f>
        <v>May-2023</v>
      </c>
      <c r="M401">
        <f>HOUR(Table1[[#This Row],[Time]])</f>
        <v>3</v>
      </c>
    </row>
    <row r="402" spans="1:13" x14ac:dyDescent="0.3">
      <c r="A402">
        <v>1401</v>
      </c>
      <c r="B402" s="3">
        <v>45048.434528773148</v>
      </c>
      <c r="C402" s="1">
        <v>45048.434528773148</v>
      </c>
      <c r="D402" t="s">
        <v>241</v>
      </c>
      <c r="E402" t="s">
        <v>10</v>
      </c>
      <c r="F402" t="s">
        <v>18</v>
      </c>
      <c r="G402" t="s">
        <v>42</v>
      </c>
      <c r="H402">
        <v>3</v>
      </c>
      <c r="I402">
        <v>341</v>
      </c>
      <c r="J402">
        <v>1023</v>
      </c>
      <c r="K402" t="str">
        <f>TEXT(Table1[[#This Row],[Date]],"dddd")</f>
        <v>Tuesday</v>
      </c>
      <c r="L402" t="str">
        <f>TEXT(Table1[[#This Row],[Date]],"mmm-yyyy")</f>
        <v>May-2023</v>
      </c>
      <c r="M402">
        <f>HOUR(Table1[[#This Row],[Time]])</f>
        <v>10</v>
      </c>
    </row>
    <row r="403" spans="1:13" x14ac:dyDescent="0.3">
      <c r="A403">
        <v>1402</v>
      </c>
      <c r="B403" s="3">
        <v>45048.738115092594</v>
      </c>
      <c r="C403" s="1">
        <v>45048.738115092594</v>
      </c>
      <c r="D403" t="s">
        <v>75</v>
      </c>
      <c r="E403" t="s">
        <v>28</v>
      </c>
      <c r="F403" t="s">
        <v>11</v>
      </c>
      <c r="G403" t="s">
        <v>56</v>
      </c>
      <c r="H403">
        <v>5</v>
      </c>
      <c r="I403">
        <v>423</v>
      </c>
      <c r="J403">
        <v>2115</v>
      </c>
      <c r="K403" t="str">
        <f>TEXT(Table1[[#This Row],[Date]],"dddd")</f>
        <v>Tuesday</v>
      </c>
      <c r="L403" t="str">
        <f>TEXT(Table1[[#This Row],[Date]],"mmm-yyyy")</f>
        <v>May-2023</v>
      </c>
      <c r="M403">
        <f>HOUR(Table1[[#This Row],[Time]])</f>
        <v>17</v>
      </c>
    </row>
    <row r="404" spans="1:13" x14ac:dyDescent="0.3">
      <c r="A404">
        <v>1403</v>
      </c>
      <c r="B404" s="3">
        <v>45049.041701423608</v>
      </c>
      <c r="C404" s="1">
        <v>45049.041701423608</v>
      </c>
      <c r="D404" t="s">
        <v>21</v>
      </c>
      <c r="E404" t="s">
        <v>28</v>
      </c>
      <c r="F404" t="s">
        <v>15</v>
      </c>
      <c r="G404" t="s">
        <v>25</v>
      </c>
      <c r="H404">
        <v>1</v>
      </c>
      <c r="I404">
        <v>830</v>
      </c>
      <c r="J404">
        <v>830</v>
      </c>
      <c r="K404" t="str">
        <f>TEXT(Table1[[#This Row],[Date]],"dddd")</f>
        <v>Wednesday</v>
      </c>
      <c r="L404" t="str">
        <f>TEXT(Table1[[#This Row],[Date]],"mmm-yyyy")</f>
        <v>May-2023</v>
      </c>
      <c r="M404">
        <f>HOUR(Table1[[#This Row],[Time]])</f>
        <v>1</v>
      </c>
    </row>
    <row r="405" spans="1:13" x14ac:dyDescent="0.3">
      <c r="A405">
        <v>1404</v>
      </c>
      <c r="B405" s="3">
        <v>45049.345287743054</v>
      </c>
      <c r="C405" s="1">
        <v>45049.345287743054</v>
      </c>
      <c r="D405" t="s">
        <v>13</v>
      </c>
      <c r="E405" t="s">
        <v>14</v>
      </c>
      <c r="F405" t="s">
        <v>11</v>
      </c>
      <c r="G405" t="s">
        <v>56</v>
      </c>
      <c r="H405">
        <v>5</v>
      </c>
      <c r="I405">
        <v>291</v>
      </c>
      <c r="J405">
        <v>1455</v>
      </c>
      <c r="K405" t="str">
        <f>TEXT(Table1[[#This Row],[Date]],"dddd")</f>
        <v>Wednesday</v>
      </c>
      <c r="L405" t="str">
        <f>TEXT(Table1[[#This Row],[Date]],"mmm-yyyy")</f>
        <v>May-2023</v>
      </c>
      <c r="M405">
        <f>HOUR(Table1[[#This Row],[Time]])</f>
        <v>8</v>
      </c>
    </row>
    <row r="406" spans="1:13" x14ac:dyDescent="0.3">
      <c r="A406">
        <v>1405</v>
      </c>
      <c r="B406" s="3">
        <v>45049.648874062499</v>
      </c>
      <c r="C406" s="1">
        <v>45049.648874062499</v>
      </c>
      <c r="D406" t="s">
        <v>72</v>
      </c>
      <c r="E406" t="s">
        <v>17</v>
      </c>
      <c r="F406" t="s">
        <v>18</v>
      </c>
      <c r="G406" t="s">
        <v>19</v>
      </c>
      <c r="H406">
        <v>4</v>
      </c>
      <c r="I406">
        <v>116</v>
      </c>
      <c r="J406">
        <v>464</v>
      </c>
      <c r="K406" t="str">
        <f>TEXT(Table1[[#This Row],[Date]],"dddd")</f>
        <v>Wednesday</v>
      </c>
      <c r="L406" t="str">
        <f>TEXT(Table1[[#This Row],[Date]],"mmm-yyyy")</f>
        <v>May-2023</v>
      </c>
      <c r="M406">
        <f>HOUR(Table1[[#This Row],[Time]])</f>
        <v>15</v>
      </c>
    </row>
    <row r="407" spans="1:13" x14ac:dyDescent="0.3">
      <c r="A407">
        <v>1406</v>
      </c>
      <c r="B407" s="3">
        <v>45049.952460381945</v>
      </c>
      <c r="C407" s="1">
        <v>45049.952460381945</v>
      </c>
      <c r="D407" t="s">
        <v>110</v>
      </c>
      <c r="E407" t="s">
        <v>17</v>
      </c>
      <c r="F407" t="s">
        <v>15</v>
      </c>
      <c r="G407" t="s">
        <v>40</v>
      </c>
      <c r="H407">
        <v>5</v>
      </c>
      <c r="I407">
        <v>623</v>
      </c>
      <c r="J407">
        <v>3115</v>
      </c>
      <c r="K407" t="str">
        <f>TEXT(Table1[[#This Row],[Date]],"dddd")</f>
        <v>Wednesday</v>
      </c>
      <c r="L407" t="str">
        <f>TEXT(Table1[[#This Row],[Date]],"mmm-yyyy")</f>
        <v>May-2023</v>
      </c>
      <c r="M407">
        <f>HOUR(Table1[[#This Row],[Time]])</f>
        <v>22</v>
      </c>
    </row>
    <row r="408" spans="1:13" x14ac:dyDescent="0.3">
      <c r="A408">
        <v>1407</v>
      </c>
      <c r="B408" s="3">
        <v>45050.25604670139</v>
      </c>
      <c r="C408" s="1">
        <v>45050.25604670139</v>
      </c>
      <c r="D408" t="s">
        <v>242</v>
      </c>
      <c r="E408" t="s">
        <v>14</v>
      </c>
      <c r="F408" t="s">
        <v>11</v>
      </c>
      <c r="G408" t="s">
        <v>12</v>
      </c>
      <c r="H408">
        <v>1</v>
      </c>
      <c r="I408">
        <v>500</v>
      </c>
      <c r="J408">
        <v>500</v>
      </c>
      <c r="K408" t="str">
        <f>TEXT(Table1[[#This Row],[Date]],"dddd")</f>
        <v>Thursday</v>
      </c>
      <c r="L408" t="str">
        <f>TEXT(Table1[[#This Row],[Date]],"mmm-yyyy")</f>
        <v>May-2023</v>
      </c>
      <c r="M408">
        <f>HOUR(Table1[[#This Row],[Time]])</f>
        <v>6</v>
      </c>
    </row>
    <row r="409" spans="1:13" x14ac:dyDescent="0.3">
      <c r="A409">
        <v>1408</v>
      </c>
      <c r="B409" s="3">
        <v>45050.559633032404</v>
      </c>
      <c r="C409" s="1">
        <v>45050.559633032404</v>
      </c>
      <c r="D409" t="s">
        <v>49</v>
      </c>
      <c r="E409" t="s">
        <v>14</v>
      </c>
      <c r="F409" t="s">
        <v>18</v>
      </c>
      <c r="G409" t="s">
        <v>35</v>
      </c>
      <c r="H409">
        <v>4</v>
      </c>
      <c r="I409">
        <v>985</v>
      </c>
      <c r="J409">
        <v>3940</v>
      </c>
      <c r="K409" t="str">
        <f>TEXT(Table1[[#This Row],[Date]],"dddd")</f>
        <v>Thursday</v>
      </c>
      <c r="L409" t="str">
        <f>TEXT(Table1[[#This Row],[Date]],"mmm-yyyy")</f>
        <v>May-2023</v>
      </c>
      <c r="M409">
        <f>HOUR(Table1[[#This Row],[Time]])</f>
        <v>13</v>
      </c>
    </row>
    <row r="410" spans="1:13" x14ac:dyDescent="0.3">
      <c r="A410">
        <v>1409</v>
      </c>
      <c r="B410" s="3">
        <v>45050.86321935185</v>
      </c>
      <c r="C410" s="1">
        <v>45050.86321935185</v>
      </c>
      <c r="D410" t="s">
        <v>73</v>
      </c>
      <c r="E410" t="s">
        <v>10</v>
      </c>
      <c r="F410" t="s">
        <v>18</v>
      </c>
      <c r="G410" t="s">
        <v>29</v>
      </c>
      <c r="H410">
        <v>5</v>
      </c>
      <c r="I410">
        <v>804</v>
      </c>
      <c r="J410">
        <v>4020</v>
      </c>
      <c r="K410" t="str">
        <f>TEXT(Table1[[#This Row],[Date]],"dddd")</f>
        <v>Thursday</v>
      </c>
      <c r="L410" t="str">
        <f>TEXT(Table1[[#This Row],[Date]],"mmm-yyyy")</f>
        <v>May-2023</v>
      </c>
      <c r="M410">
        <f>HOUR(Table1[[#This Row],[Time]])</f>
        <v>20</v>
      </c>
    </row>
    <row r="411" spans="1:13" x14ac:dyDescent="0.3">
      <c r="A411">
        <v>1410</v>
      </c>
      <c r="B411" s="3">
        <v>45051.166805671295</v>
      </c>
      <c r="C411" s="1">
        <v>45051.166805671295</v>
      </c>
      <c r="D411" t="s">
        <v>49</v>
      </c>
      <c r="E411" t="s">
        <v>17</v>
      </c>
      <c r="F411" t="s">
        <v>18</v>
      </c>
      <c r="G411" t="s">
        <v>29</v>
      </c>
      <c r="H411">
        <v>4</v>
      </c>
      <c r="I411">
        <v>121</v>
      </c>
      <c r="J411">
        <v>484</v>
      </c>
      <c r="K411" t="str">
        <f>TEXT(Table1[[#This Row],[Date]],"dddd")</f>
        <v>Friday</v>
      </c>
      <c r="L411" t="str">
        <f>TEXT(Table1[[#This Row],[Date]],"mmm-yyyy")</f>
        <v>May-2023</v>
      </c>
      <c r="M411">
        <f>HOUR(Table1[[#This Row],[Time]])</f>
        <v>4</v>
      </c>
    </row>
    <row r="412" spans="1:13" x14ac:dyDescent="0.3">
      <c r="A412">
        <v>1411</v>
      </c>
      <c r="B412" s="3">
        <v>45051.470391990741</v>
      </c>
      <c r="C412" s="1">
        <v>45051.470391990741</v>
      </c>
      <c r="D412" t="s">
        <v>240</v>
      </c>
      <c r="E412" t="s">
        <v>10</v>
      </c>
      <c r="F412" t="s">
        <v>24</v>
      </c>
      <c r="G412" t="s">
        <v>40</v>
      </c>
      <c r="H412">
        <v>2</v>
      </c>
      <c r="I412">
        <v>573</v>
      </c>
      <c r="J412">
        <v>1146</v>
      </c>
      <c r="K412" t="str">
        <f>TEXT(Table1[[#This Row],[Date]],"dddd")</f>
        <v>Friday</v>
      </c>
      <c r="L412" t="str">
        <f>TEXT(Table1[[#This Row],[Date]],"mmm-yyyy")</f>
        <v>May-2023</v>
      </c>
      <c r="M412">
        <f>HOUR(Table1[[#This Row],[Time]])</f>
        <v>11</v>
      </c>
    </row>
    <row r="413" spans="1:13" x14ac:dyDescent="0.3">
      <c r="A413">
        <v>1412</v>
      </c>
      <c r="B413" s="3">
        <v>45051.773978310186</v>
      </c>
      <c r="C413" s="1">
        <v>45051.773978310186</v>
      </c>
      <c r="D413" t="s">
        <v>112</v>
      </c>
      <c r="E413" t="s">
        <v>28</v>
      </c>
      <c r="F413" t="s">
        <v>24</v>
      </c>
      <c r="G413" t="s">
        <v>19</v>
      </c>
      <c r="H413">
        <v>2</v>
      </c>
      <c r="I413">
        <v>219</v>
      </c>
      <c r="J413">
        <v>438</v>
      </c>
      <c r="K413" t="str">
        <f>TEXT(Table1[[#This Row],[Date]],"dddd")</f>
        <v>Friday</v>
      </c>
      <c r="L413" t="str">
        <f>TEXT(Table1[[#This Row],[Date]],"mmm-yyyy")</f>
        <v>May-2023</v>
      </c>
      <c r="M413">
        <f>HOUR(Table1[[#This Row],[Time]])</f>
        <v>18</v>
      </c>
    </row>
    <row r="414" spans="1:13" x14ac:dyDescent="0.3">
      <c r="A414">
        <v>1413</v>
      </c>
      <c r="B414" s="3">
        <v>45052.0775646412</v>
      </c>
      <c r="C414" s="1">
        <v>45052.0775646412</v>
      </c>
      <c r="D414" t="s">
        <v>110</v>
      </c>
      <c r="E414" t="s">
        <v>14</v>
      </c>
      <c r="F414" t="s">
        <v>24</v>
      </c>
      <c r="G414" t="s">
        <v>29</v>
      </c>
      <c r="H414">
        <v>5</v>
      </c>
      <c r="I414">
        <v>309</v>
      </c>
      <c r="J414">
        <v>1545</v>
      </c>
      <c r="K414" t="str">
        <f>TEXT(Table1[[#This Row],[Date]],"dddd")</f>
        <v>Saturday</v>
      </c>
      <c r="L414" t="str">
        <f>TEXT(Table1[[#This Row],[Date]],"mmm-yyyy")</f>
        <v>May-2023</v>
      </c>
      <c r="M414">
        <f>HOUR(Table1[[#This Row],[Time]])</f>
        <v>1</v>
      </c>
    </row>
    <row r="415" spans="1:13" x14ac:dyDescent="0.3">
      <c r="A415">
        <v>1414</v>
      </c>
      <c r="B415" s="3">
        <v>45052.381150960646</v>
      </c>
      <c r="C415" s="1">
        <v>45052.381150960646</v>
      </c>
      <c r="D415" t="s">
        <v>64</v>
      </c>
      <c r="E415" t="s">
        <v>10</v>
      </c>
      <c r="F415" t="s">
        <v>15</v>
      </c>
      <c r="G415" t="s">
        <v>25</v>
      </c>
      <c r="H415">
        <v>4</v>
      </c>
      <c r="I415">
        <v>405</v>
      </c>
      <c r="J415">
        <v>1620</v>
      </c>
      <c r="K415" t="str">
        <f>TEXT(Table1[[#This Row],[Date]],"dddd")</f>
        <v>Saturday</v>
      </c>
      <c r="L415" t="str">
        <f>TEXT(Table1[[#This Row],[Date]],"mmm-yyyy")</f>
        <v>May-2023</v>
      </c>
      <c r="M415">
        <f>HOUR(Table1[[#This Row],[Time]])</f>
        <v>9</v>
      </c>
    </row>
    <row r="416" spans="1:13" x14ac:dyDescent="0.3">
      <c r="A416">
        <v>1415</v>
      </c>
      <c r="B416" s="3">
        <v>45052.684737280091</v>
      </c>
      <c r="C416" s="1">
        <v>45052.684737280091</v>
      </c>
      <c r="D416" t="s">
        <v>166</v>
      </c>
      <c r="E416" t="s">
        <v>14</v>
      </c>
      <c r="F416" t="s">
        <v>11</v>
      </c>
      <c r="G416" t="s">
        <v>29</v>
      </c>
      <c r="H416">
        <v>1</v>
      </c>
      <c r="I416">
        <v>369</v>
      </c>
      <c r="J416">
        <v>369</v>
      </c>
      <c r="K416" t="str">
        <f>TEXT(Table1[[#This Row],[Date]],"dddd")</f>
        <v>Saturday</v>
      </c>
      <c r="L416" t="str">
        <f>TEXT(Table1[[#This Row],[Date]],"mmm-yyyy")</f>
        <v>May-2023</v>
      </c>
      <c r="M416">
        <f>HOUR(Table1[[#This Row],[Time]])</f>
        <v>16</v>
      </c>
    </row>
    <row r="417" spans="1:13" x14ac:dyDescent="0.3">
      <c r="A417">
        <v>1416</v>
      </c>
      <c r="B417" s="3">
        <v>45052.988323599537</v>
      </c>
      <c r="C417" s="1">
        <v>45052.988323599537</v>
      </c>
      <c r="D417" t="s">
        <v>243</v>
      </c>
      <c r="E417" t="s">
        <v>10</v>
      </c>
      <c r="F417" t="s">
        <v>15</v>
      </c>
      <c r="G417" t="s">
        <v>22</v>
      </c>
      <c r="H417">
        <v>5</v>
      </c>
      <c r="I417">
        <v>803</v>
      </c>
      <c r="J417">
        <v>4015</v>
      </c>
      <c r="K417" t="str">
        <f>TEXT(Table1[[#This Row],[Date]],"dddd")</f>
        <v>Saturday</v>
      </c>
      <c r="L417" t="str">
        <f>TEXT(Table1[[#This Row],[Date]],"mmm-yyyy")</f>
        <v>May-2023</v>
      </c>
      <c r="M417">
        <f>HOUR(Table1[[#This Row],[Time]])</f>
        <v>23</v>
      </c>
    </row>
    <row r="418" spans="1:13" x14ac:dyDescent="0.3">
      <c r="A418">
        <v>1417</v>
      </c>
      <c r="B418" s="3">
        <v>45053.291909930558</v>
      </c>
      <c r="C418" s="1">
        <v>45053.291909930558</v>
      </c>
      <c r="D418" t="s">
        <v>221</v>
      </c>
      <c r="E418" t="s">
        <v>28</v>
      </c>
      <c r="F418" t="s">
        <v>15</v>
      </c>
      <c r="G418" t="s">
        <v>40</v>
      </c>
      <c r="H418">
        <v>2</v>
      </c>
      <c r="I418">
        <v>786</v>
      </c>
      <c r="J418">
        <v>1572</v>
      </c>
      <c r="K418" t="str">
        <f>TEXT(Table1[[#This Row],[Date]],"dddd")</f>
        <v>Sunday</v>
      </c>
      <c r="L418" t="str">
        <f>TEXT(Table1[[#This Row],[Date]],"mmm-yyyy")</f>
        <v>May-2023</v>
      </c>
      <c r="M418">
        <f>HOUR(Table1[[#This Row],[Time]])</f>
        <v>7</v>
      </c>
    </row>
    <row r="419" spans="1:13" x14ac:dyDescent="0.3">
      <c r="A419">
        <v>1418</v>
      </c>
      <c r="B419" s="3">
        <v>45053.595496250004</v>
      </c>
      <c r="C419" s="1">
        <v>45053.595496250004</v>
      </c>
      <c r="D419" t="s">
        <v>209</v>
      </c>
      <c r="E419" t="s">
        <v>28</v>
      </c>
      <c r="F419" t="s">
        <v>18</v>
      </c>
      <c r="G419" t="s">
        <v>19</v>
      </c>
      <c r="H419">
        <v>2</v>
      </c>
      <c r="I419">
        <v>384</v>
      </c>
      <c r="J419">
        <v>768</v>
      </c>
      <c r="K419" t="str">
        <f>TEXT(Table1[[#This Row],[Date]],"dddd")</f>
        <v>Sunday</v>
      </c>
      <c r="L419" t="str">
        <f>TEXT(Table1[[#This Row],[Date]],"mmm-yyyy")</f>
        <v>May-2023</v>
      </c>
      <c r="M419">
        <f>HOUR(Table1[[#This Row],[Time]])</f>
        <v>14</v>
      </c>
    </row>
    <row r="420" spans="1:13" x14ac:dyDescent="0.3">
      <c r="A420">
        <v>1419</v>
      </c>
      <c r="B420" s="3">
        <v>45053.899082569442</v>
      </c>
      <c r="C420" s="1">
        <v>45053.899082569442</v>
      </c>
      <c r="D420" t="s">
        <v>131</v>
      </c>
      <c r="E420" t="s">
        <v>17</v>
      </c>
      <c r="F420" t="s">
        <v>39</v>
      </c>
      <c r="G420" t="s">
        <v>42</v>
      </c>
      <c r="H420">
        <v>5</v>
      </c>
      <c r="I420">
        <v>815</v>
      </c>
      <c r="J420">
        <v>4075</v>
      </c>
      <c r="K420" t="str">
        <f>TEXT(Table1[[#This Row],[Date]],"dddd")</f>
        <v>Sunday</v>
      </c>
      <c r="L420" t="str">
        <f>TEXT(Table1[[#This Row],[Date]],"mmm-yyyy")</f>
        <v>May-2023</v>
      </c>
      <c r="M420">
        <f>HOUR(Table1[[#This Row],[Time]])</f>
        <v>21</v>
      </c>
    </row>
    <row r="421" spans="1:13" x14ac:dyDescent="0.3">
      <c r="A421">
        <v>1420</v>
      </c>
      <c r="B421" s="3">
        <v>45054.202668888887</v>
      </c>
      <c r="C421" s="1">
        <v>45054.202668888887</v>
      </c>
      <c r="D421" t="s">
        <v>244</v>
      </c>
      <c r="E421" t="s">
        <v>17</v>
      </c>
      <c r="F421" t="s">
        <v>39</v>
      </c>
      <c r="G421" t="s">
        <v>35</v>
      </c>
      <c r="H421">
        <v>4</v>
      </c>
      <c r="I421">
        <v>775</v>
      </c>
      <c r="J421">
        <v>3100</v>
      </c>
      <c r="K421" t="str">
        <f>TEXT(Table1[[#This Row],[Date]],"dddd")</f>
        <v>Monday</v>
      </c>
      <c r="L421" t="str">
        <f>TEXT(Table1[[#This Row],[Date]],"mmm-yyyy")</f>
        <v>May-2023</v>
      </c>
      <c r="M421">
        <f>HOUR(Table1[[#This Row],[Time]])</f>
        <v>4</v>
      </c>
    </row>
    <row r="422" spans="1:13" x14ac:dyDescent="0.3">
      <c r="A422">
        <v>1421</v>
      </c>
      <c r="B422" s="3">
        <v>45054.506255208333</v>
      </c>
      <c r="C422" s="1">
        <v>45054.506255208333</v>
      </c>
      <c r="D422" t="s">
        <v>61</v>
      </c>
      <c r="E422" t="s">
        <v>28</v>
      </c>
      <c r="F422" t="s">
        <v>18</v>
      </c>
      <c r="G422" t="s">
        <v>40</v>
      </c>
      <c r="H422">
        <v>2</v>
      </c>
      <c r="I422">
        <v>862</v>
      </c>
      <c r="J422">
        <v>1724</v>
      </c>
      <c r="K422" t="str">
        <f>TEXT(Table1[[#This Row],[Date]],"dddd")</f>
        <v>Monday</v>
      </c>
      <c r="L422" t="str">
        <f>TEXT(Table1[[#This Row],[Date]],"mmm-yyyy")</f>
        <v>May-2023</v>
      </c>
      <c r="M422">
        <f>HOUR(Table1[[#This Row],[Time]])</f>
        <v>12</v>
      </c>
    </row>
    <row r="423" spans="1:13" x14ac:dyDescent="0.3">
      <c r="A423">
        <v>1422</v>
      </c>
      <c r="B423" s="3">
        <v>45054.809841539354</v>
      </c>
      <c r="C423" s="1">
        <v>45054.809841539354</v>
      </c>
      <c r="D423" t="s">
        <v>237</v>
      </c>
      <c r="E423" t="s">
        <v>10</v>
      </c>
      <c r="F423" t="s">
        <v>39</v>
      </c>
      <c r="G423" t="s">
        <v>25</v>
      </c>
      <c r="H423">
        <v>4</v>
      </c>
      <c r="I423">
        <v>326</v>
      </c>
      <c r="J423">
        <v>1304</v>
      </c>
      <c r="K423" t="str">
        <f>TEXT(Table1[[#This Row],[Date]],"dddd")</f>
        <v>Monday</v>
      </c>
      <c r="L423" t="str">
        <f>TEXT(Table1[[#This Row],[Date]],"mmm-yyyy")</f>
        <v>May-2023</v>
      </c>
      <c r="M423">
        <f>HOUR(Table1[[#This Row],[Time]])</f>
        <v>19</v>
      </c>
    </row>
    <row r="424" spans="1:13" x14ac:dyDescent="0.3">
      <c r="A424">
        <v>1423</v>
      </c>
      <c r="B424" s="3">
        <v>45055.1134278588</v>
      </c>
      <c r="C424" s="1">
        <v>45055.1134278588</v>
      </c>
      <c r="D424" t="s">
        <v>183</v>
      </c>
      <c r="E424" t="s">
        <v>14</v>
      </c>
      <c r="F424" t="s">
        <v>15</v>
      </c>
      <c r="G424" t="s">
        <v>25</v>
      </c>
      <c r="H424">
        <v>2</v>
      </c>
      <c r="I424">
        <v>480</v>
      </c>
      <c r="J424">
        <v>960</v>
      </c>
      <c r="K424" t="str">
        <f>TEXT(Table1[[#This Row],[Date]],"dddd")</f>
        <v>Tuesday</v>
      </c>
      <c r="L424" t="str">
        <f>TEXT(Table1[[#This Row],[Date]],"mmm-yyyy")</f>
        <v>May-2023</v>
      </c>
      <c r="M424">
        <f>HOUR(Table1[[#This Row],[Time]])</f>
        <v>2</v>
      </c>
    </row>
    <row r="425" spans="1:13" x14ac:dyDescent="0.3">
      <c r="A425">
        <v>1424</v>
      </c>
      <c r="B425" s="3">
        <v>45055.417014178238</v>
      </c>
      <c r="C425" s="1">
        <v>45055.417014178238</v>
      </c>
      <c r="D425" t="s">
        <v>127</v>
      </c>
      <c r="E425" t="s">
        <v>28</v>
      </c>
      <c r="F425" t="s">
        <v>11</v>
      </c>
      <c r="G425" t="s">
        <v>35</v>
      </c>
      <c r="H425">
        <v>2</v>
      </c>
      <c r="I425">
        <v>559</v>
      </c>
      <c r="J425">
        <v>1118</v>
      </c>
      <c r="K425" t="str">
        <f>TEXT(Table1[[#This Row],[Date]],"dddd")</f>
        <v>Tuesday</v>
      </c>
      <c r="L425" t="str">
        <f>TEXT(Table1[[#This Row],[Date]],"mmm-yyyy")</f>
        <v>May-2023</v>
      </c>
      <c r="M425">
        <f>HOUR(Table1[[#This Row],[Time]])</f>
        <v>10</v>
      </c>
    </row>
    <row r="426" spans="1:13" x14ac:dyDescent="0.3">
      <c r="A426">
        <v>1425</v>
      </c>
      <c r="B426" s="3">
        <v>45055.720600497683</v>
      </c>
      <c r="C426" s="1">
        <v>45055.720600497683</v>
      </c>
      <c r="D426" t="s">
        <v>60</v>
      </c>
      <c r="E426" t="s">
        <v>28</v>
      </c>
      <c r="F426" t="s">
        <v>24</v>
      </c>
      <c r="G426" t="s">
        <v>33</v>
      </c>
      <c r="H426">
        <v>3</v>
      </c>
      <c r="I426">
        <v>106</v>
      </c>
      <c r="J426">
        <v>318</v>
      </c>
      <c r="K426" t="str">
        <f>TEXT(Table1[[#This Row],[Date]],"dddd")</f>
        <v>Tuesday</v>
      </c>
      <c r="L426" t="str">
        <f>TEXT(Table1[[#This Row],[Date]],"mmm-yyyy")</f>
        <v>May-2023</v>
      </c>
      <c r="M426">
        <f>HOUR(Table1[[#This Row],[Time]])</f>
        <v>17</v>
      </c>
    </row>
    <row r="427" spans="1:13" x14ac:dyDescent="0.3">
      <c r="A427">
        <v>1426</v>
      </c>
      <c r="B427" s="3">
        <v>45056.024186817129</v>
      </c>
      <c r="C427" s="1">
        <v>45056.024186817129</v>
      </c>
      <c r="D427" t="s">
        <v>199</v>
      </c>
      <c r="E427" t="s">
        <v>10</v>
      </c>
      <c r="F427" t="s">
        <v>15</v>
      </c>
      <c r="G427" t="s">
        <v>56</v>
      </c>
      <c r="H427">
        <v>2</v>
      </c>
      <c r="I427">
        <v>128</v>
      </c>
      <c r="J427">
        <v>256</v>
      </c>
      <c r="K427" t="str">
        <f>TEXT(Table1[[#This Row],[Date]],"dddd")</f>
        <v>Wednesday</v>
      </c>
      <c r="L427" t="str">
        <f>TEXT(Table1[[#This Row],[Date]],"mmm-yyyy")</f>
        <v>May-2023</v>
      </c>
      <c r="M427">
        <f>HOUR(Table1[[#This Row],[Time]])</f>
        <v>0</v>
      </c>
    </row>
    <row r="428" spans="1:13" x14ac:dyDescent="0.3">
      <c r="A428">
        <v>1427</v>
      </c>
      <c r="B428" s="3">
        <v>45056.32777314815</v>
      </c>
      <c r="C428" s="1">
        <v>45056.32777314815</v>
      </c>
      <c r="D428" t="s">
        <v>245</v>
      </c>
      <c r="E428" t="s">
        <v>28</v>
      </c>
      <c r="F428" t="s">
        <v>15</v>
      </c>
      <c r="G428" t="s">
        <v>25</v>
      </c>
      <c r="H428">
        <v>1</v>
      </c>
      <c r="I428">
        <v>132</v>
      </c>
      <c r="J428">
        <v>132</v>
      </c>
      <c r="K428" t="str">
        <f>TEXT(Table1[[#This Row],[Date]],"dddd")</f>
        <v>Wednesday</v>
      </c>
      <c r="L428" t="str">
        <f>TEXT(Table1[[#This Row],[Date]],"mmm-yyyy")</f>
        <v>May-2023</v>
      </c>
      <c r="M428">
        <f>HOUR(Table1[[#This Row],[Time]])</f>
        <v>7</v>
      </c>
    </row>
    <row r="429" spans="1:13" x14ac:dyDescent="0.3">
      <c r="A429">
        <v>1428</v>
      </c>
      <c r="B429" s="3">
        <v>45056.631359467596</v>
      </c>
      <c r="C429" s="1">
        <v>45056.631359467596</v>
      </c>
      <c r="D429" t="s">
        <v>246</v>
      </c>
      <c r="E429" t="s">
        <v>28</v>
      </c>
      <c r="F429" t="s">
        <v>11</v>
      </c>
      <c r="G429" t="s">
        <v>42</v>
      </c>
      <c r="H429">
        <v>5</v>
      </c>
      <c r="I429">
        <v>745</v>
      </c>
      <c r="J429">
        <v>3725</v>
      </c>
      <c r="K429" t="str">
        <f>TEXT(Table1[[#This Row],[Date]],"dddd")</f>
        <v>Wednesday</v>
      </c>
      <c r="L429" t="str">
        <f>TEXT(Table1[[#This Row],[Date]],"mmm-yyyy")</f>
        <v>May-2023</v>
      </c>
      <c r="M429">
        <f>HOUR(Table1[[#This Row],[Time]])</f>
        <v>15</v>
      </c>
    </row>
    <row r="430" spans="1:13" x14ac:dyDescent="0.3">
      <c r="A430">
        <v>1429</v>
      </c>
      <c r="B430" s="3">
        <v>45056.934945787034</v>
      </c>
      <c r="C430" s="1">
        <v>45056.934945787034</v>
      </c>
      <c r="D430" t="s">
        <v>221</v>
      </c>
      <c r="E430" t="s">
        <v>10</v>
      </c>
      <c r="F430" t="s">
        <v>39</v>
      </c>
      <c r="G430" t="s">
        <v>33</v>
      </c>
      <c r="H430">
        <v>5</v>
      </c>
      <c r="I430">
        <v>978</v>
      </c>
      <c r="J430">
        <v>4890</v>
      </c>
      <c r="K430" t="str">
        <f>TEXT(Table1[[#This Row],[Date]],"dddd")</f>
        <v>Wednesday</v>
      </c>
      <c r="L430" t="str">
        <f>TEXT(Table1[[#This Row],[Date]],"mmm-yyyy")</f>
        <v>May-2023</v>
      </c>
      <c r="M430">
        <f>HOUR(Table1[[#This Row],[Time]])</f>
        <v>22</v>
      </c>
    </row>
    <row r="431" spans="1:13" x14ac:dyDescent="0.3">
      <c r="A431">
        <v>1430</v>
      </c>
      <c r="B431" s="3">
        <v>45057.238532106479</v>
      </c>
      <c r="C431" s="1">
        <v>45057.238532106479</v>
      </c>
      <c r="D431" t="s">
        <v>119</v>
      </c>
      <c r="E431" t="s">
        <v>28</v>
      </c>
      <c r="F431" t="s">
        <v>11</v>
      </c>
      <c r="G431" t="s">
        <v>42</v>
      </c>
      <c r="H431">
        <v>4</v>
      </c>
      <c r="I431">
        <v>178</v>
      </c>
      <c r="J431">
        <v>712</v>
      </c>
      <c r="K431" t="str">
        <f>TEXT(Table1[[#This Row],[Date]],"dddd")</f>
        <v>Thursday</v>
      </c>
      <c r="L431" t="str">
        <f>TEXT(Table1[[#This Row],[Date]],"mmm-yyyy")</f>
        <v>May-2023</v>
      </c>
      <c r="M431">
        <f>HOUR(Table1[[#This Row],[Time]])</f>
        <v>5</v>
      </c>
    </row>
    <row r="432" spans="1:13" x14ac:dyDescent="0.3">
      <c r="A432">
        <v>1431</v>
      </c>
      <c r="B432" s="3">
        <v>45057.542118437501</v>
      </c>
      <c r="C432" s="1">
        <v>45057.542118437501</v>
      </c>
      <c r="D432" t="s">
        <v>71</v>
      </c>
      <c r="E432" t="s">
        <v>17</v>
      </c>
      <c r="F432" t="s">
        <v>15</v>
      </c>
      <c r="G432" t="s">
        <v>33</v>
      </c>
      <c r="H432">
        <v>2</v>
      </c>
      <c r="I432">
        <v>558</v>
      </c>
      <c r="J432">
        <v>1116</v>
      </c>
      <c r="K432" t="str">
        <f>TEXT(Table1[[#This Row],[Date]],"dddd")</f>
        <v>Thursday</v>
      </c>
      <c r="L432" t="str">
        <f>TEXT(Table1[[#This Row],[Date]],"mmm-yyyy")</f>
        <v>May-2023</v>
      </c>
      <c r="M432">
        <f>HOUR(Table1[[#This Row],[Time]])</f>
        <v>13</v>
      </c>
    </row>
    <row r="433" spans="1:13" x14ac:dyDescent="0.3">
      <c r="A433">
        <v>1432</v>
      </c>
      <c r="B433" s="3">
        <v>45057.845704756946</v>
      </c>
      <c r="C433" s="1">
        <v>45057.845704756946</v>
      </c>
      <c r="D433" t="s">
        <v>175</v>
      </c>
      <c r="E433" t="s">
        <v>17</v>
      </c>
      <c r="F433" t="s">
        <v>18</v>
      </c>
      <c r="G433" t="s">
        <v>19</v>
      </c>
      <c r="H433">
        <v>1</v>
      </c>
      <c r="I433">
        <v>669</v>
      </c>
      <c r="J433">
        <v>669</v>
      </c>
      <c r="K433" t="str">
        <f>TEXT(Table1[[#This Row],[Date]],"dddd")</f>
        <v>Thursday</v>
      </c>
      <c r="L433" t="str">
        <f>TEXT(Table1[[#This Row],[Date]],"mmm-yyyy")</f>
        <v>May-2023</v>
      </c>
      <c r="M433">
        <f>HOUR(Table1[[#This Row],[Time]])</f>
        <v>20</v>
      </c>
    </row>
    <row r="434" spans="1:13" x14ac:dyDescent="0.3">
      <c r="A434">
        <v>1433</v>
      </c>
      <c r="B434" s="3">
        <v>45058.149291076392</v>
      </c>
      <c r="C434" s="1">
        <v>45058.149291076392</v>
      </c>
      <c r="D434" t="s">
        <v>247</v>
      </c>
      <c r="E434" t="s">
        <v>17</v>
      </c>
      <c r="F434" t="s">
        <v>18</v>
      </c>
      <c r="G434" t="s">
        <v>35</v>
      </c>
      <c r="H434">
        <v>4</v>
      </c>
      <c r="I434">
        <v>637</v>
      </c>
      <c r="J434">
        <v>2548</v>
      </c>
      <c r="K434" t="str">
        <f>TEXT(Table1[[#This Row],[Date]],"dddd")</f>
        <v>Friday</v>
      </c>
      <c r="L434" t="str">
        <f>TEXT(Table1[[#This Row],[Date]],"mmm-yyyy")</f>
        <v>May-2023</v>
      </c>
      <c r="M434">
        <f>HOUR(Table1[[#This Row],[Time]])</f>
        <v>3</v>
      </c>
    </row>
    <row r="435" spans="1:13" x14ac:dyDescent="0.3">
      <c r="A435">
        <v>1434</v>
      </c>
      <c r="B435" s="3">
        <v>45058.45287739583</v>
      </c>
      <c r="C435" s="1">
        <v>45058.45287739583</v>
      </c>
      <c r="D435" t="s">
        <v>62</v>
      </c>
      <c r="E435" t="s">
        <v>17</v>
      </c>
      <c r="F435" t="s">
        <v>15</v>
      </c>
      <c r="G435" t="s">
        <v>25</v>
      </c>
      <c r="H435">
        <v>3</v>
      </c>
      <c r="I435">
        <v>581</v>
      </c>
      <c r="J435">
        <v>1743</v>
      </c>
      <c r="K435" t="str">
        <f>TEXT(Table1[[#This Row],[Date]],"dddd")</f>
        <v>Friday</v>
      </c>
      <c r="L435" t="str">
        <f>TEXT(Table1[[#This Row],[Date]],"mmm-yyyy")</f>
        <v>May-2023</v>
      </c>
      <c r="M435">
        <f>HOUR(Table1[[#This Row],[Time]])</f>
        <v>10</v>
      </c>
    </row>
    <row r="436" spans="1:13" x14ac:dyDescent="0.3">
      <c r="A436">
        <v>1435</v>
      </c>
      <c r="B436" s="3">
        <v>45058.756463715275</v>
      </c>
      <c r="C436" s="1">
        <v>45058.756463715275</v>
      </c>
      <c r="D436" t="s">
        <v>245</v>
      </c>
      <c r="E436" t="s">
        <v>28</v>
      </c>
      <c r="F436" t="s">
        <v>18</v>
      </c>
      <c r="G436" t="s">
        <v>33</v>
      </c>
      <c r="H436">
        <v>4</v>
      </c>
      <c r="I436">
        <v>529</v>
      </c>
      <c r="J436">
        <v>2116</v>
      </c>
      <c r="K436" t="str">
        <f>TEXT(Table1[[#This Row],[Date]],"dddd")</f>
        <v>Friday</v>
      </c>
      <c r="L436" t="str">
        <f>TEXT(Table1[[#This Row],[Date]],"mmm-yyyy")</f>
        <v>May-2023</v>
      </c>
      <c r="M436">
        <f>HOUR(Table1[[#This Row],[Time]])</f>
        <v>18</v>
      </c>
    </row>
    <row r="437" spans="1:13" x14ac:dyDescent="0.3">
      <c r="A437">
        <v>1436</v>
      </c>
      <c r="B437" s="3">
        <v>45059.060050046297</v>
      </c>
      <c r="C437" s="1">
        <v>45059.060050046297</v>
      </c>
      <c r="D437" t="s">
        <v>139</v>
      </c>
      <c r="E437" t="s">
        <v>14</v>
      </c>
      <c r="F437" t="s">
        <v>39</v>
      </c>
      <c r="G437" t="s">
        <v>56</v>
      </c>
      <c r="H437">
        <v>4</v>
      </c>
      <c r="I437">
        <v>837</v>
      </c>
      <c r="J437">
        <v>3348</v>
      </c>
      <c r="K437" t="str">
        <f>TEXT(Table1[[#This Row],[Date]],"dddd")</f>
        <v>Saturday</v>
      </c>
      <c r="L437" t="str">
        <f>TEXT(Table1[[#This Row],[Date]],"mmm-yyyy")</f>
        <v>May-2023</v>
      </c>
      <c r="M437">
        <f>HOUR(Table1[[#This Row],[Time]])</f>
        <v>1</v>
      </c>
    </row>
    <row r="438" spans="1:13" x14ac:dyDescent="0.3">
      <c r="A438">
        <v>1437</v>
      </c>
      <c r="B438" s="3">
        <v>45059.363636365742</v>
      </c>
      <c r="C438" s="1">
        <v>45059.363636365742</v>
      </c>
      <c r="D438" t="s">
        <v>248</v>
      </c>
      <c r="E438" t="s">
        <v>17</v>
      </c>
      <c r="F438" t="s">
        <v>11</v>
      </c>
      <c r="G438" t="s">
        <v>35</v>
      </c>
      <c r="H438">
        <v>2</v>
      </c>
      <c r="I438">
        <v>384</v>
      </c>
      <c r="J438">
        <v>768</v>
      </c>
      <c r="K438" t="str">
        <f>TEXT(Table1[[#This Row],[Date]],"dddd")</f>
        <v>Saturday</v>
      </c>
      <c r="L438" t="str">
        <f>TEXT(Table1[[#This Row],[Date]],"mmm-yyyy")</f>
        <v>May-2023</v>
      </c>
      <c r="M438">
        <f>HOUR(Table1[[#This Row],[Time]])</f>
        <v>8</v>
      </c>
    </row>
    <row r="439" spans="1:13" x14ac:dyDescent="0.3">
      <c r="A439">
        <v>1438</v>
      </c>
      <c r="B439" s="3">
        <v>45059.667222685188</v>
      </c>
      <c r="C439" s="1">
        <v>45059.667222685188</v>
      </c>
      <c r="D439" t="s">
        <v>105</v>
      </c>
      <c r="E439" t="s">
        <v>17</v>
      </c>
      <c r="F439" t="s">
        <v>24</v>
      </c>
      <c r="G439" t="s">
        <v>56</v>
      </c>
      <c r="H439">
        <v>3</v>
      </c>
      <c r="I439">
        <v>615</v>
      </c>
      <c r="J439">
        <v>1845</v>
      </c>
      <c r="K439" t="str">
        <f>TEXT(Table1[[#This Row],[Date]],"dddd")</f>
        <v>Saturday</v>
      </c>
      <c r="L439" t="str">
        <f>TEXT(Table1[[#This Row],[Date]],"mmm-yyyy")</f>
        <v>May-2023</v>
      </c>
      <c r="M439">
        <f>HOUR(Table1[[#This Row],[Time]])</f>
        <v>16</v>
      </c>
    </row>
    <row r="440" spans="1:13" x14ac:dyDescent="0.3">
      <c r="A440">
        <v>1439</v>
      </c>
      <c r="B440" s="3">
        <v>45059.970809004626</v>
      </c>
      <c r="C440" s="1">
        <v>45059.970809004626</v>
      </c>
      <c r="D440" t="s">
        <v>249</v>
      </c>
      <c r="E440" t="s">
        <v>28</v>
      </c>
      <c r="F440" t="s">
        <v>11</v>
      </c>
      <c r="G440" t="s">
        <v>56</v>
      </c>
      <c r="H440">
        <v>4</v>
      </c>
      <c r="I440">
        <v>198</v>
      </c>
      <c r="J440">
        <v>792</v>
      </c>
      <c r="K440" t="str">
        <f>TEXT(Table1[[#This Row],[Date]],"dddd")</f>
        <v>Saturday</v>
      </c>
      <c r="L440" t="str">
        <f>TEXT(Table1[[#This Row],[Date]],"mmm-yyyy")</f>
        <v>May-2023</v>
      </c>
      <c r="M440">
        <f>HOUR(Table1[[#This Row],[Time]])</f>
        <v>23</v>
      </c>
    </row>
    <row r="441" spans="1:13" x14ac:dyDescent="0.3">
      <c r="A441">
        <v>1440</v>
      </c>
      <c r="B441" s="3">
        <v>45060.274395324072</v>
      </c>
      <c r="C441" s="1">
        <v>45060.274395324072</v>
      </c>
      <c r="D441" t="s">
        <v>79</v>
      </c>
      <c r="E441" t="s">
        <v>28</v>
      </c>
      <c r="F441" t="s">
        <v>24</v>
      </c>
      <c r="G441" t="s">
        <v>40</v>
      </c>
      <c r="H441">
        <v>1</v>
      </c>
      <c r="I441">
        <v>496</v>
      </c>
      <c r="J441">
        <v>496</v>
      </c>
      <c r="K441" t="str">
        <f>TEXT(Table1[[#This Row],[Date]],"dddd")</f>
        <v>Sunday</v>
      </c>
      <c r="L441" t="str">
        <f>TEXT(Table1[[#This Row],[Date]],"mmm-yyyy")</f>
        <v>May-2023</v>
      </c>
      <c r="M441">
        <f>HOUR(Table1[[#This Row],[Time]])</f>
        <v>6</v>
      </c>
    </row>
    <row r="442" spans="1:13" x14ac:dyDescent="0.3">
      <c r="A442">
        <v>1441</v>
      </c>
      <c r="B442" s="3">
        <v>45060.577981655093</v>
      </c>
      <c r="C442" s="1">
        <v>45060.577981655093</v>
      </c>
      <c r="D442" t="s">
        <v>177</v>
      </c>
      <c r="E442" t="s">
        <v>10</v>
      </c>
      <c r="F442" t="s">
        <v>15</v>
      </c>
      <c r="G442" t="s">
        <v>19</v>
      </c>
      <c r="H442">
        <v>1</v>
      </c>
      <c r="I442">
        <v>588</v>
      </c>
      <c r="J442">
        <v>588</v>
      </c>
      <c r="K442" t="str">
        <f>TEXT(Table1[[#This Row],[Date]],"dddd")</f>
        <v>Sunday</v>
      </c>
      <c r="L442" t="str">
        <f>TEXT(Table1[[#This Row],[Date]],"mmm-yyyy")</f>
        <v>May-2023</v>
      </c>
      <c r="M442">
        <f>HOUR(Table1[[#This Row],[Time]])</f>
        <v>13</v>
      </c>
    </row>
    <row r="443" spans="1:13" x14ac:dyDescent="0.3">
      <c r="A443">
        <v>1442</v>
      </c>
      <c r="B443" s="3">
        <v>45060.881567974538</v>
      </c>
      <c r="C443" s="1">
        <v>45060.881567974538</v>
      </c>
      <c r="D443" t="s">
        <v>73</v>
      </c>
      <c r="E443" t="s">
        <v>17</v>
      </c>
      <c r="F443" t="s">
        <v>15</v>
      </c>
      <c r="G443" t="s">
        <v>35</v>
      </c>
      <c r="H443">
        <v>5</v>
      </c>
      <c r="I443">
        <v>138</v>
      </c>
      <c r="J443">
        <v>690</v>
      </c>
      <c r="K443" t="str">
        <f>TEXT(Table1[[#This Row],[Date]],"dddd")</f>
        <v>Sunday</v>
      </c>
      <c r="L443" t="str">
        <f>TEXT(Table1[[#This Row],[Date]],"mmm-yyyy")</f>
        <v>May-2023</v>
      </c>
      <c r="M443">
        <f>HOUR(Table1[[#This Row],[Time]])</f>
        <v>21</v>
      </c>
    </row>
    <row r="444" spans="1:13" x14ac:dyDescent="0.3">
      <c r="A444">
        <v>1443</v>
      </c>
      <c r="B444" s="3">
        <v>45061.185154293984</v>
      </c>
      <c r="C444" s="1">
        <v>45061.185154293984</v>
      </c>
      <c r="D444" t="s">
        <v>166</v>
      </c>
      <c r="E444" t="s">
        <v>10</v>
      </c>
      <c r="F444" t="s">
        <v>24</v>
      </c>
      <c r="G444" t="s">
        <v>35</v>
      </c>
      <c r="H444">
        <v>3</v>
      </c>
      <c r="I444">
        <v>370</v>
      </c>
      <c r="J444">
        <v>1110</v>
      </c>
      <c r="K444" t="str">
        <f>TEXT(Table1[[#This Row],[Date]],"dddd")</f>
        <v>Monday</v>
      </c>
      <c r="L444" t="str">
        <f>TEXT(Table1[[#This Row],[Date]],"mmm-yyyy")</f>
        <v>May-2023</v>
      </c>
      <c r="M444">
        <f>HOUR(Table1[[#This Row],[Time]])</f>
        <v>4</v>
      </c>
    </row>
    <row r="445" spans="1:13" x14ac:dyDescent="0.3">
      <c r="A445">
        <v>1444</v>
      </c>
      <c r="B445" s="3">
        <v>45061.488740613429</v>
      </c>
      <c r="C445" s="1">
        <v>45061.488740613429</v>
      </c>
      <c r="D445" t="s">
        <v>199</v>
      </c>
      <c r="E445" t="s">
        <v>17</v>
      </c>
      <c r="F445" t="s">
        <v>18</v>
      </c>
      <c r="G445" t="s">
        <v>22</v>
      </c>
      <c r="H445">
        <v>3</v>
      </c>
      <c r="I445">
        <v>986</v>
      </c>
      <c r="J445">
        <v>2958</v>
      </c>
      <c r="K445" t="str">
        <f>TEXT(Table1[[#This Row],[Date]],"dddd")</f>
        <v>Monday</v>
      </c>
      <c r="L445" t="str">
        <f>TEXT(Table1[[#This Row],[Date]],"mmm-yyyy")</f>
        <v>May-2023</v>
      </c>
      <c r="M445">
        <f>HOUR(Table1[[#This Row],[Time]])</f>
        <v>11</v>
      </c>
    </row>
    <row r="446" spans="1:13" x14ac:dyDescent="0.3">
      <c r="A446">
        <v>1445</v>
      </c>
      <c r="B446" s="3">
        <v>45061.792326944444</v>
      </c>
      <c r="C446" s="1">
        <v>45061.792326944444</v>
      </c>
      <c r="D446" t="s">
        <v>65</v>
      </c>
      <c r="E446" t="s">
        <v>14</v>
      </c>
      <c r="F446" t="s">
        <v>15</v>
      </c>
      <c r="G446" t="s">
        <v>33</v>
      </c>
      <c r="H446">
        <v>5</v>
      </c>
      <c r="I446">
        <v>896</v>
      </c>
      <c r="J446">
        <v>4480</v>
      </c>
      <c r="K446" t="str">
        <f>TEXT(Table1[[#This Row],[Date]],"dddd")</f>
        <v>Monday</v>
      </c>
      <c r="L446" t="str">
        <f>TEXT(Table1[[#This Row],[Date]],"mmm-yyyy")</f>
        <v>May-2023</v>
      </c>
      <c r="M446">
        <f>HOUR(Table1[[#This Row],[Time]])</f>
        <v>19</v>
      </c>
    </row>
    <row r="447" spans="1:13" x14ac:dyDescent="0.3">
      <c r="A447">
        <v>1446</v>
      </c>
      <c r="B447" s="3">
        <v>45062.095913263889</v>
      </c>
      <c r="C447" s="1">
        <v>45062.095913263889</v>
      </c>
      <c r="D447" t="s">
        <v>211</v>
      </c>
      <c r="E447" t="s">
        <v>28</v>
      </c>
      <c r="F447" t="s">
        <v>39</v>
      </c>
      <c r="G447" t="s">
        <v>19</v>
      </c>
      <c r="H447">
        <v>4</v>
      </c>
      <c r="I447">
        <v>256</v>
      </c>
      <c r="J447">
        <v>1024</v>
      </c>
      <c r="K447" t="str">
        <f>TEXT(Table1[[#This Row],[Date]],"dddd")</f>
        <v>Tuesday</v>
      </c>
      <c r="L447" t="str">
        <f>TEXT(Table1[[#This Row],[Date]],"mmm-yyyy")</f>
        <v>May-2023</v>
      </c>
      <c r="M447">
        <f>HOUR(Table1[[#This Row],[Time]])</f>
        <v>2</v>
      </c>
    </row>
    <row r="448" spans="1:13" x14ac:dyDescent="0.3">
      <c r="A448">
        <v>1447</v>
      </c>
      <c r="B448" s="3">
        <v>45062.399499583335</v>
      </c>
      <c r="C448" s="1">
        <v>45062.399499583335</v>
      </c>
      <c r="D448" t="s">
        <v>132</v>
      </c>
      <c r="E448" t="s">
        <v>28</v>
      </c>
      <c r="F448" t="s">
        <v>39</v>
      </c>
      <c r="G448" t="s">
        <v>19</v>
      </c>
      <c r="H448">
        <v>3</v>
      </c>
      <c r="I448">
        <v>174</v>
      </c>
      <c r="J448">
        <v>522</v>
      </c>
      <c r="K448" t="str">
        <f>TEXT(Table1[[#This Row],[Date]],"dddd")</f>
        <v>Tuesday</v>
      </c>
      <c r="L448" t="str">
        <f>TEXT(Table1[[#This Row],[Date]],"mmm-yyyy")</f>
        <v>May-2023</v>
      </c>
      <c r="M448">
        <f>HOUR(Table1[[#This Row],[Time]])</f>
        <v>9</v>
      </c>
    </row>
    <row r="449" spans="1:13" x14ac:dyDescent="0.3">
      <c r="A449">
        <v>1448</v>
      </c>
      <c r="B449" s="3">
        <v>45062.70308590278</v>
      </c>
      <c r="C449" s="1">
        <v>45062.70308590278</v>
      </c>
      <c r="D449" t="s">
        <v>250</v>
      </c>
      <c r="E449" t="s">
        <v>10</v>
      </c>
      <c r="F449" t="s">
        <v>39</v>
      </c>
      <c r="G449" t="s">
        <v>35</v>
      </c>
      <c r="H449">
        <v>1</v>
      </c>
      <c r="I449">
        <v>983</v>
      </c>
      <c r="J449">
        <v>983</v>
      </c>
      <c r="K449" t="str">
        <f>TEXT(Table1[[#This Row],[Date]],"dddd")</f>
        <v>Tuesday</v>
      </c>
      <c r="L449" t="str">
        <f>TEXT(Table1[[#This Row],[Date]],"mmm-yyyy")</f>
        <v>May-2023</v>
      </c>
      <c r="M449">
        <f>HOUR(Table1[[#This Row],[Time]])</f>
        <v>16</v>
      </c>
    </row>
    <row r="450" spans="1:13" x14ac:dyDescent="0.3">
      <c r="A450">
        <v>1449</v>
      </c>
      <c r="B450" s="3">
        <v>45063.006672222225</v>
      </c>
      <c r="C450" s="1">
        <v>45063.006672222225</v>
      </c>
      <c r="D450" t="s">
        <v>251</v>
      </c>
      <c r="E450" t="s">
        <v>10</v>
      </c>
      <c r="F450" t="s">
        <v>39</v>
      </c>
      <c r="G450" t="s">
        <v>29</v>
      </c>
      <c r="H450">
        <v>1</v>
      </c>
      <c r="I450">
        <v>899</v>
      </c>
      <c r="J450">
        <v>899</v>
      </c>
      <c r="K450" t="str">
        <f>TEXT(Table1[[#This Row],[Date]],"dddd")</f>
        <v>Wednesday</v>
      </c>
      <c r="L450" t="str">
        <f>TEXT(Table1[[#This Row],[Date]],"mmm-yyyy")</f>
        <v>May-2023</v>
      </c>
      <c r="M450">
        <f>HOUR(Table1[[#This Row],[Time]])</f>
        <v>0</v>
      </c>
    </row>
    <row r="451" spans="1:13" x14ac:dyDescent="0.3">
      <c r="A451">
        <v>1450</v>
      </c>
      <c r="B451" s="3">
        <v>45063.31025855324</v>
      </c>
      <c r="C451" s="1">
        <v>45063.31025855324</v>
      </c>
      <c r="D451" t="s">
        <v>252</v>
      </c>
      <c r="E451" t="s">
        <v>28</v>
      </c>
      <c r="F451" t="s">
        <v>24</v>
      </c>
      <c r="G451" t="s">
        <v>12</v>
      </c>
      <c r="H451">
        <v>2</v>
      </c>
      <c r="I451">
        <v>229</v>
      </c>
      <c r="J451">
        <v>458</v>
      </c>
      <c r="K451" t="str">
        <f>TEXT(Table1[[#This Row],[Date]],"dddd")</f>
        <v>Wednesday</v>
      </c>
      <c r="L451" t="str">
        <f>TEXT(Table1[[#This Row],[Date]],"mmm-yyyy")</f>
        <v>May-2023</v>
      </c>
      <c r="M451">
        <f>HOUR(Table1[[#This Row],[Time]])</f>
        <v>7</v>
      </c>
    </row>
    <row r="452" spans="1:13" x14ac:dyDescent="0.3">
      <c r="A452">
        <v>1451</v>
      </c>
      <c r="B452" s="3">
        <v>45063.613844872685</v>
      </c>
      <c r="C452" s="1">
        <v>45063.613844872685</v>
      </c>
      <c r="D452" t="s">
        <v>182</v>
      </c>
      <c r="E452" t="s">
        <v>28</v>
      </c>
      <c r="F452" t="s">
        <v>18</v>
      </c>
      <c r="G452" t="s">
        <v>19</v>
      </c>
      <c r="H452">
        <v>3</v>
      </c>
      <c r="I452">
        <v>786</v>
      </c>
      <c r="J452">
        <v>2358</v>
      </c>
      <c r="K452" t="str">
        <f>TEXT(Table1[[#This Row],[Date]],"dddd")</f>
        <v>Wednesday</v>
      </c>
      <c r="L452" t="str">
        <f>TEXT(Table1[[#This Row],[Date]],"mmm-yyyy")</f>
        <v>May-2023</v>
      </c>
      <c r="M452">
        <f>HOUR(Table1[[#This Row],[Time]])</f>
        <v>14</v>
      </c>
    </row>
    <row r="453" spans="1:13" x14ac:dyDescent="0.3">
      <c r="A453">
        <v>1452</v>
      </c>
      <c r="B453" s="3">
        <v>45063.917431192131</v>
      </c>
      <c r="C453" s="1">
        <v>45063.917431192131</v>
      </c>
      <c r="D453" t="s">
        <v>196</v>
      </c>
      <c r="E453" t="s">
        <v>28</v>
      </c>
      <c r="F453" t="s">
        <v>24</v>
      </c>
      <c r="G453" t="s">
        <v>22</v>
      </c>
      <c r="H453">
        <v>4</v>
      </c>
      <c r="I453">
        <v>183</v>
      </c>
      <c r="J453">
        <v>732</v>
      </c>
      <c r="K453" t="str">
        <f>TEXT(Table1[[#This Row],[Date]],"dddd")</f>
        <v>Wednesday</v>
      </c>
      <c r="L453" t="str">
        <f>TEXT(Table1[[#This Row],[Date]],"mmm-yyyy")</f>
        <v>May-2023</v>
      </c>
      <c r="M453">
        <f>HOUR(Table1[[#This Row],[Time]])</f>
        <v>22</v>
      </c>
    </row>
    <row r="454" spans="1:13" x14ac:dyDescent="0.3">
      <c r="A454">
        <v>1453</v>
      </c>
      <c r="B454" s="3">
        <v>45064.221017511576</v>
      </c>
      <c r="C454" s="1">
        <v>45064.221017511576</v>
      </c>
      <c r="D454" t="s">
        <v>124</v>
      </c>
      <c r="E454" t="s">
        <v>17</v>
      </c>
      <c r="F454" t="s">
        <v>15</v>
      </c>
      <c r="G454" t="s">
        <v>12</v>
      </c>
      <c r="H454">
        <v>5</v>
      </c>
      <c r="I454">
        <v>121</v>
      </c>
      <c r="J454">
        <v>605</v>
      </c>
      <c r="K454" t="str">
        <f>TEXT(Table1[[#This Row],[Date]],"dddd")</f>
        <v>Thursday</v>
      </c>
      <c r="L454" t="str">
        <f>TEXT(Table1[[#This Row],[Date]],"mmm-yyyy")</f>
        <v>May-2023</v>
      </c>
      <c r="M454">
        <f>HOUR(Table1[[#This Row],[Time]])</f>
        <v>5</v>
      </c>
    </row>
    <row r="455" spans="1:13" x14ac:dyDescent="0.3">
      <c r="A455">
        <v>1454</v>
      </c>
      <c r="B455" s="3">
        <v>45064.524603831022</v>
      </c>
      <c r="C455" s="1">
        <v>45064.524603831022</v>
      </c>
      <c r="D455" t="s">
        <v>151</v>
      </c>
      <c r="E455" t="s">
        <v>17</v>
      </c>
      <c r="F455" t="s">
        <v>39</v>
      </c>
      <c r="G455" t="s">
        <v>25</v>
      </c>
      <c r="H455">
        <v>5</v>
      </c>
      <c r="I455">
        <v>558</v>
      </c>
      <c r="J455">
        <v>2790</v>
      </c>
      <c r="K455" t="str">
        <f>TEXT(Table1[[#This Row],[Date]],"dddd")</f>
        <v>Thursday</v>
      </c>
      <c r="L455" t="str">
        <f>TEXT(Table1[[#This Row],[Date]],"mmm-yyyy")</f>
        <v>May-2023</v>
      </c>
      <c r="M455">
        <f>HOUR(Table1[[#This Row],[Time]])</f>
        <v>12</v>
      </c>
    </row>
    <row r="456" spans="1:13" x14ac:dyDescent="0.3">
      <c r="A456">
        <v>1455</v>
      </c>
      <c r="B456" s="3">
        <v>45064.828190162036</v>
      </c>
      <c r="C456" s="1">
        <v>45064.828190162036</v>
      </c>
      <c r="D456" t="s">
        <v>72</v>
      </c>
      <c r="E456" t="s">
        <v>14</v>
      </c>
      <c r="F456" t="s">
        <v>39</v>
      </c>
      <c r="G456" t="s">
        <v>56</v>
      </c>
      <c r="H456">
        <v>4</v>
      </c>
      <c r="I456">
        <v>638</v>
      </c>
      <c r="J456">
        <v>2552</v>
      </c>
      <c r="K456" t="str">
        <f>TEXT(Table1[[#This Row],[Date]],"dddd")</f>
        <v>Thursday</v>
      </c>
      <c r="L456" t="str">
        <f>TEXT(Table1[[#This Row],[Date]],"mmm-yyyy")</f>
        <v>May-2023</v>
      </c>
      <c r="M456">
        <f>HOUR(Table1[[#This Row],[Time]])</f>
        <v>19</v>
      </c>
    </row>
    <row r="457" spans="1:13" x14ac:dyDescent="0.3">
      <c r="A457">
        <v>1456</v>
      </c>
      <c r="B457" s="3">
        <v>45065.131776481481</v>
      </c>
      <c r="C457" s="1">
        <v>45065.131776481481</v>
      </c>
      <c r="D457" t="s">
        <v>253</v>
      </c>
      <c r="E457" t="s">
        <v>17</v>
      </c>
      <c r="F457" t="s">
        <v>39</v>
      </c>
      <c r="G457" t="s">
        <v>56</v>
      </c>
      <c r="H457">
        <v>2</v>
      </c>
      <c r="I457">
        <v>806</v>
      </c>
      <c r="J457">
        <v>1612</v>
      </c>
      <c r="K457" t="str">
        <f>TEXT(Table1[[#This Row],[Date]],"dddd")</f>
        <v>Friday</v>
      </c>
      <c r="L457" t="str">
        <f>TEXT(Table1[[#This Row],[Date]],"mmm-yyyy")</f>
        <v>May-2023</v>
      </c>
      <c r="M457">
        <f>HOUR(Table1[[#This Row],[Time]])</f>
        <v>3</v>
      </c>
    </row>
    <row r="458" spans="1:13" x14ac:dyDescent="0.3">
      <c r="A458">
        <v>1457</v>
      </c>
      <c r="B458" s="3">
        <v>45065.435362800927</v>
      </c>
      <c r="C458" s="1">
        <v>45065.435362800927</v>
      </c>
      <c r="D458" t="s">
        <v>57</v>
      </c>
      <c r="E458" t="s">
        <v>28</v>
      </c>
      <c r="F458" t="s">
        <v>15</v>
      </c>
      <c r="G458" t="s">
        <v>19</v>
      </c>
      <c r="H458">
        <v>5</v>
      </c>
      <c r="I458">
        <v>948</v>
      </c>
      <c r="J458">
        <v>4740</v>
      </c>
      <c r="K458" t="str">
        <f>TEXT(Table1[[#This Row],[Date]],"dddd")</f>
        <v>Friday</v>
      </c>
      <c r="L458" t="str">
        <f>TEXT(Table1[[#This Row],[Date]],"mmm-yyyy")</f>
        <v>May-2023</v>
      </c>
      <c r="M458">
        <f>HOUR(Table1[[#This Row],[Time]])</f>
        <v>10</v>
      </c>
    </row>
    <row r="459" spans="1:13" x14ac:dyDescent="0.3">
      <c r="A459">
        <v>1458</v>
      </c>
      <c r="B459" s="3">
        <v>45065.738949120372</v>
      </c>
      <c r="C459" s="1">
        <v>45065.738949120372</v>
      </c>
      <c r="D459" t="s">
        <v>254</v>
      </c>
      <c r="E459" t="s">
        <v>17</v>
      </c>
      <c r="F459" t="s">
        <v>11</v>
      </c>
      <c r="G459" t="s">
        <v>35</v>
      </c>
      <c r="H459">
        <v>3</v>
      </c>
      <c r="I459">
        <v>481</v>
      </c>
      <c r="J459">
        <v>1443</v>
      </c>
      <c r="K459" t="str">
        <f>TEXT(Table1[[#This Row],[Date]],"dddd")</f>
        <v>Friday</v>
      </c>
      <c r="L459" t="str">
        <f>TEXT(Table1[[#This Row],[Date]],"mmm-yyyy")</f>
        <v>May-2023</v>
      </c>
      <c r="M459">
        <f>HOUR(Table1[[#This Row],[Time]])</f>
        <v>17</v>
      </c>
    </row>
    <row r="460" spans="1:13" x14ac:dyDescent="0.3">
      <c r="A460">
        <v>1459</v>
      </c>
      <c r="B460" s="3">
        <v>45066.042535451386</v>
      </c>
      <c r="C460" s="1">
        <v>45066.042535451386</v>
      </c>
      <c r="D460" t="s">
        <v>205</v>
      </c>
      <c r="E460" t="s">
        <v>10</v>
      </c>
      <c r="F460" t="s">
        <v>24</v>
      </c>
      <c r="G460" t="s">
        <v>33</v>
      </c>
      <c r="H460">
        <v>2</v>
      </c>
      <c r="I460">
        <v>847</v>
      </c>
      <c r="J460">
        <v>1694</v>
      </c>
      <c r="K460" t="str">
        <f>TEXT(Table1[[#This Row],[Date]],"dddd")</f>
        <v>Saturday</v>
      </c>
      <c r="L460" t="str">
        <f>TEXT(Table1[[#This Row],[Date]],"mmm-yyyy")</f>
        <v>May-2023</v>
      </c>
      <c r="M460">
        <f>HOUR(Table1[[#This Row],[Time]])</f>
        <v>1</v>
      </c>
    </row>
    <row r="461" spans="1:13" x14ac:dyDescent="0.3">
      <c r="A461">
        <v>1460</v>
      </c>
      <c r="B461" s="3">
        <v>45066.346121770832</v>
      </c>
      <c r="C461" s="1">
        <v>45066.346121770832</v>
      </c>
      <c r="D461" t="s">
        <v>218</v>
      </c>
      <c r="E461" t="s">
        <v>28</v>
      </c>
      <c r="F461" t="s">
        <v>18</v>
      </c>
      <c r="G461" t="s">
        <v>12</v>
      </c>
      <c r="H461">
        <v>3</v>
      </c>
      <c r="I461">
        <v>539</v>
      </c>
      <c r="J461">
        <v>1617</v>
      </c>
      <c r="K461" t="str">
        <f>TEXT(Table1[[#This Row],[Date]],"dddd")</f>
        <v>Saturday</v>
      </c>
      <c r="L461" t="str">
        <f>TEXT(Table1[[#This Row],[Date]],"mmm-yyyy")</f>
        <v>May-2023</v>
      </c>
      <c r="M461">
        <f>HOUR(Table1[[#This Row],[Time]])</f>
        <v>8</v>
      </c>
    </row>
    <row r="462" spans="1:13" x14ac:dyDescent="0.3">
      <c r="A462">
        <v>1461</v>
      </c>
      <c r="B462" s="3">
        <v>45066.649708090277</v>
      </c>
      <c r="C462" s="1">
        <v>45066.649708090277</v>
      </c>
      <c r="D462" t="s">
        <v>255</v>
      </c>
      <c r="E462" t="s">
        <v>17</v>
      </c>
      <c r="F462" t="s">
        <v>15</v>
      </c>
      <c r="G462" t="s">
        <v>33</v>
      </c>
      <c r="H462">
        <v>1</v>
      </c>
      <c r="I462">
        <v>703</v>
      </c>
      <c r="J462">
        <v>703</v>
      </c>
      <c r="K462" t="str">
        <f>TEXT(Table1[[#This Row],[Date]],"dddd")</f>
        <v>Saturday</v>
      </c>
      <c r="L462" t="str">
        <f>TEXT(Table1[[#This Row],[Date]],"mmm-yyyy")</f>
        <v>May-2023</v>
      </c>
      <c r="M462">
        <f>HOUR(Table1[[#This Row],[Time]])</f>
        <v>15</v>
      </c>
    </row>
    <row r="463" spans="1:13" x14ac:dyDescent="0.3">
      <c r="A463">
        <v>1462</v>
      </c>
      <c r="B463" s="3">
        <v>45066.953294409723</v>
      </c>
      <c r="C463" s="1">
        <v>45066.953294409723</v>
      </c>
      <c r="D463" t="s">
        <v>256</v>
      </c>
      <c r="E463" t="s">
        <v>28</v>
      </c>
      <c r="F463" t="s">
        <v>11</v>
      </c>
      <c r="G463" t="s">
        <v>22</v>
      </c>
      <c r="H463">
        <v>2</v>
      </c>
      <c r="I463">
        <v>120</v>
      </c>
      <c r="J463">
        <v>240</v>
      </c>
      <c r="K463" t="str">
        <f>TEXT(Table1[[#This Row],[Date]],"dddd")</f>
        <v>Saturday</v>
      </c>
      <c r="L463" t="str">
        <f>TEXT(Table1[[#This Row],[Date]],"mmm-yyyy")</f>
        <v>May-2023</v>
      </c>
      <c r="M463">
        <f>HOUR(Table1[[#This Row],[Time]])</f>
        <v>22</v>
      </c>
    </row>
    <row r="464" spans="1:13" x14ac:dyDescent="0.3">
      <c r="A464">
        <v>1463</v>
      </c>
      <c r="B464" s="3">
        <v>45067.256880729168</v>
      </c>
      <c r="C464" s="1">
        <v>45067.256880729168</v>
      </c>
      <c r="D464" t="s">
        <v>139</v>
      </c>
      <c r="E464" t="s">
        <v>10</v>
      </c>
      <c r="F464" t="s">
        <v>11</v>
      </c>
      <c r="G464" t="s">
        <v>33</v>
      </c>
      <c r="H464">
        <v>5</v>
      </c>
      <c r="I464">
        <v>402</v>
      </c>
      <c r="J464">
        <v>2010</v>
      </c>
      <c r="K464" t="str">
        <f>TEXT(Table1[[#This Row],[Date]],"dddd")</f>
        <v>Sunday</v>
      </c>
      <c r="L464" t="str">
        <f>TEXT(Table1[[#This Row],[Date]],"mmm-yyyy")</f>
        <v>May-2023</v>
      </c>
      <c r="M464">
        <f>HOUR(Table1[[#This Row],[Time]])</f>
        <v>6</v>
      </c>
    </row>
    <row r="465" spans="1:13" x14ac:dyDescent="0.3">
      <c r="A465">
        <v>1464</v>
      </c>
      <c r="B465" s="3">
        <v>45067.560467060182</v>
      </c>
      <c r="C465" s="1">
        <v>45067.560467060182</v>
      </c>
      <c r="D465" t="s">
        <v>257</v>
      </c>
      <c r="E465" t="s">
        <v>10</v>
      </c>
      <c r="F465" t="s">
        <v>18</v>
      </c>
      <c r="G465" t="s">
        <v>29</v>
      </c>
      <c r="H465">
        <v>2</v>
      </c>
      <c r="I465">
        <v>968</v>
      </c>
      <c r="J465">
        <v>1936</v>
      </c>
      <c r="K465" t="str">
        <f>TEXT(Table1[[#This Row],[Date]],"dddd")</f>
        <v>Sunday</v>
      </c>
      <c r="L465" t="str">
        <f>TEXT(Table1[[#This Row],[Date]],"mmm-yyyy")</f>
        <v>May-2023</v>
      </c>
      <c r="M465">
        <f>HOUR(Table1[[#This Row],[Time]])</f>
        <v>13</v>
      </c>
    </row>
    <row r="466" spans="1:13" x14ac:dyDescent="0.3">
      <c r="A466">
        <v>1465</v>
      </c>
      <c r="B466" s="3">
        <v>45067.864053379628</v>
      </c>
      <c r="C466" s="1">
        <v>45067.864053379628</v>
      </c>
      <c r="D466" t="s">
        <v>193</v>
      </c>
      <c r="E466" t="s">
        <v>17</v>
      </c>
      <c r="F466" t="s">
        <v>15</v>
      </c>
      <c r="G466" t="s">
        <v>29</v>
      </c>
      <c r="H466">
        <v>2</v>
      </c>
      <c r="I466">
        <v>183</v>
      </c>
      <c r="J466">
        <v>366</v>
      </c>
      <c r="K466" t="str">
        <f>TEXT(Table1[[#This Row],[Date]],"dddd")</f>
        <v>Sunday</v>
      </c>
      <c r="L466" t="str">
        <f>TEXT(Table1[[#This Row],[Date]],"mmm-yyyy")</f>
        <v>May-2023</v>
      </c>
      <c r="M466">
        <f>HOUR(Table1[[#This Row],[Time]])</f>
        <v>20</v>
      </c>
    </row>
    <row r="467" spans="1:13" x14ac:dyDescent="0.3">
      <c r="A467">
        <v>1466</v>
      </c>
      <c r="B467" s="3">
        <v>45068.167639699073</v>
      </c>
      <c r="C467" s="1">
        <v>45068.167639699073</v>
      </c>
      <c r="D467" t="s">
        <v>83</v>
      </c>
      <c r="E467" t="s">
        <v>28</v>
      </c>
      <c r="F467" t="s">
        <v>11</v>
      </c>
      <c r="G467" t="s">
        <v>29</v>
      </c>
      <c r="H467">
        <v>2</v>
      </c>
      <c r="I467">
        <v>873</v>
      </c>
      <c r="J467">
        <v>1746</v>
      </c>
      <c r="K467" t="str">
        <f>TEXT(Table1[[#This Row],[Date]],"dddd")</f>
        <v>Monday</v>
      </c>
      <c r="L467" t="str">
        <f>TEXT(Table1[[#This Row],[Date]],"mmm-yyyy")</f>
        <v>May-2023</v>
      </c>
      <c r="M467">
        <f>HOUR(Table1[[#This Row],[Time]])</f>
        <v>4</v>
      </c>
    </row>
    <row r="468" spans="1:13" x14ac:dyDescent="0.3">
      <c r="A468">
        <v>1467</v>
      </c>
      <c r="B468" s="3">
        <v>45068.471226018519</v>
      </c>
      <c r="C468" s="1">
        <v>45068.471226018519</v>
      </c>
      <c r="D468" t="s">
        <v>177</v>
      </c>
      <c r="E468" t="s">
        <v>14</v>
      </c>
      <c r="F468" t="s">
        <v>39</v>
      </c>
      <c r="G468" t="s">
        <v>35</v>
      </c>
      <c r="H468">
        <v>2</v>
      </c>
      <c r="I468">
        <v>758</v>
      </c>
      <c r="J468">
        <v>1516</v>
      </c>
      <c r="K468" t="str">
        <f>TEXT(Table1[[#This Row],[Date]],"dddd")</f>
        <v>Monday</v>
      </c>
      <c r="L468" t="str">
        <f>TEXT(Table1[[#This Row],[Date]],"mmm-yyyy")</f>
        <v>May-2023</v>
      </c>
      <c r="M468">
        <f>HOUR(Table1[[#This Row],[Time]])</f>
        <v>11</v>
      </c>
    </row>
    <row r="469" spans="1:13" x14ac:dyDescent="0.3">
      <c r="A469">
        <v>1468</v>
      </c>
      <c r="B469" s="3">
        <v>45068.774812337964</v>
      </c>
      <c r="C469" s="1">
        <v>45068.774812337964</v>
      </c>
      <c r="D469" t="s">
        <v>197</v>
      </c>
      <c r="E469" t="s">
        <v>10</v>
      </c>
      <c r="F469" t="s">
        <v>18</v>
      </c>
      <c r="G469" t="s">
        <v>12</v>
      </c>
      <c r="H469">
        <v>3</v>
      </c>
      <c r="I469">
        <v>552</v>
      </c>
      <c r="J469">
        <v>1656</v>
      </c>
      <c r="K469" t="str">
        <f>TEXT(Table1[[#This Row],[Date]],"dddd")</f>
        <v>Monday</v>
      </c>
      <c r="L469" t="str">
        <f>TEXT(Table1[[#This Row],[Date]],"mmm-yyyy")</f>
        <v>May-2023</v>
      </c>
      <c r="M469">
        <f>HOUR(Table1[[#This Row],[Time]])</f>
        <v>18</v>
      </c>
    </row>
    <row r="470" spans="1:13" x14ac:dyDescent="0.3">
      <c r="A470">
        <v>1469</v>
      </c>
      <c r="B470" s="3">
        <v>45069.078398668978</v>
      </c>
      <c r="C470" s="1">
        <v>45069.078398668978</v>
      </c>
      <c r="D470" t="s">
        <v>258</v>
      </c>
      <c r="E470" t="s">
        <v>14</v>
      </c>
      <c r="F470" t="s">
        <v>39</v>
      </c>
      <c r="G470" t="s">
        <v>22</v>
      </c>
      <c r="H470">
        <v>1</v>
      </c>
      <c r="I470">
        <v>486</v>
      </c>
      <c r="J470">
        <v>486</v>
      </c>
      <c r="K470" t="str">
        <f>TEXT(Table1[[#This Row],[Date]],"dddd")</f>
        <v>Tuesday</v>
      </c>
      <c r="L470" t="str">
        <f>TEXT(Table1[[#This Row],[Date]],"mmm-yyyy")</f>
        <v>May-2023</v>
      </c>
      <c r="M470">
        <f>HOUR(Table1[[#This Row],[Time]])</f>
        <v>1</v>
      </c>
    </row>
    <row r="471" spans="1:13" x14ac:dyDescent="0.3">
      <c r="A471">
        <v>1470</v>
      </c>
      <c r="B471" s="3">
        <v>45069.381984988424</v>
      </c>
      <c r="C471" s="1">
        <v>45069.381984988424</v>
      </c>
      <c r="D471" t="s">
        <v>259</v>
      </c>
      <c r="E471" t="s">
        <v>17</v>
      </c>
      <c r="F471" t="s">
        <v>18</v>
      </c>
      <c r="G471" t="s">
        <v>56</v>
      </c>
      <c r="H471">
        <v>4</v>
      </c>
      <c r="I471">
        <v>606</v>
      </c>
      <c r="J471">
        <v>2424</v>
      </c>
      <c r="K471" t="str">
        <f>TEXT(Table1[[#This Row],[Date]],"dddd")</f>
        <v>Tuesday</v>
      </c>
      <c r="L471" t="str">
        <f>TEXT(Table1[[#This Row],[Date]],"mmm-yyyy")</f>
        <v>May-2023</v>
      </c>
      <c r="M471">
        <f>HOUR(Table1[[#This Row],[Time]])</f>
        <v>9</v>
      </c>
    </row>
    <row r="472" spans="1:13" x14ac:dyDescent="0.3">
      <c r="A472">
        <v>1471</v>
      </c>
      <c r="B472" s="3">
        <v>45069.685571307869</v>
      </c>
      <c r="C472" s="1">
        <v>45069.685571307869</v>
      </c>
      <c r="D472" t="s">
        <v>187</v>
      </c>
      <c r="E472" t="s">
        <v>10</v>
      </c>
      <c r="F472" t="s">
        <v>24</v>
      </c>
      <c r="G472" t="s">
        <v>56</v>
      </c>
      <c r="H472">
        <v>2</v>
      </c>
      <c r="I472">
        <v>356</v>
      </c>
      <c r="J472">
        <v>712</v>
      </c>
      <c r="K472" t="str">
        <f>TEXT(Table1[[#This Row],[Date]],"dddd")</f>
        <v>Tuesday</v>
      </c>
      <c r="L472" t="str">
        <f>TEXT(Table1[[#This Row],[Date]],"mmm-yyyy")</f>
        <v>May-2023</v>
      </c>
      <c r="M472">
        <f>HOUR(Table1[[#This Row],[Time]])</f>
        <v>16</v>
      </c>
    </row>
    <row r="473" spans="1:13" x14ac:dyDescent="0.3">
      <c r="A473">
        <v>1472</v>
      </c>
      <c r="B473" s="3">
        <v>45069.989157627315</v>
      </c>
      <c r="C473" s="1">
        <v>45069.989157627315</v>
      </c>
      <c r="D473" t="s">
        <v>187</v>
      </c>
      <c r="E473" t="s">
        <v>14</v>
      </c>
      <c r="F473" t="s">
        <v>24</v>
      </c>
      <c r="G473" t="s">
        <v>33</v>
      </c>
      <c r="H473">
        <v>5</v>
      </c>
      <c r="I473">
        <v>669</v>
      </c>
      <c r="J473">
        <v>3345</v>
      </c>
      <c r="K473" t="str">
        <f>TEXT(Table1[[#This Row],[Date]],"dddd")</f>
        <v>Tuesday</v>
      </c>
      <c r="L473" t="str">
        <f>TEXT(Table1[[#This Row],[Date]],"mmm-yyyy")</f>
        <v>May-2023</v>
      </c>
      <c r="M473">
        <f>HOUR(Table1[[#This Row],[Time]])</f>
        <v>23</v>
      </c>
    </row>
    <row r="474" spans="1:13" x14ac:dyDescent="0.3">
      <c r="A474">
        <v>1473</v>
      </c>
      <c r="B474" s="3">
        <v>45070.292743958336</v>
      </c>
      <c r="C474" s="1">
        <v>45070.292743958336</v>
      </c>
      <c r="D474" t="s">
        <v>169</v>
      </c>
      <c r="E474" t="s">
        <v>10</v>
      </c>
      <c r="F474" t="s">
        <v>15</v>
      </c>
      <c r="G474" t="s">
        <v>33</v>
      </c>
      <c r="H474">
        <v>2</v>
      </c>
      <c r="I474">
        <v>991</v>
      </c>
      <c r="J474">
        <v>1982</v>
      </c>
      <c r="K474" t="str">
        <f>TEXT(Table1[[#This Row],[Date]],"dddd")</f>
        <v>Wednesday</v>
      </c>
      <c r="L474" t="str">
        <f>TEXT(Table1[[#This Row],[Date]],"mmm-yyyy")</f>
        <v>May-2023</v>
      </c>
      <c r="M474">
        <f>HOUR(Table1[[#This Row],[Time]])</f>
        <v>7</v>
      </c>
    </row>
    <row r="475" spans="1:13" x14ac:dyDescent="0.3">
      <c r="A475">
        <v>1474</v>
      </c>
      <c r="B475" s="3">
        <v>45070.596330277775</v>
      </c>
      <c r="C475" s="1">
        <v>45070.596330277775</v>
      </c>
      <c r="D475" t="s">
        <v>246</v>
      </c>
      <c r="E475" t="s">
        <v>14</v>
      </c>
      <c r="F475" t="s">
        <v>11</v>
      </c>
      <c r="G475" t="s">
        <v>22</v>
      </c>
      <c r="H475">
        <v>5</v>
      </c>
      <c r="I475">
        <v>626</v>
      </c>
      <c r="J475">
        <v>3130</v>
      </c>
      <c r="K475" t="str">
        <f>TEXT(Table1[[#This Row],[Date]],"dddd")</f>
        <v>Wednesday</v>
      </c>
      <c r="L475" t="str">
        <f>TEXT(Table1[[#This Row],[Date]],"mmm-yyyy")</f>
        <v>May-2023</v>
      </c>
      <c r="M475">
        <f>HOUR(Table1[[#This Row],[Time]])</f>
        <v>14</v>
      </c>
    </row>
    <row r="476" spans="1:13" x14ac:dyDescent="0.3">
      <c r="A476">
        <v>1475</v>
      </c>
      <c r="B476" s="3">
        <v>45070.89991659722</v>
      </c>
      <c r="C476" s="1">
        <v>45070.89991659722</v>
      </c>
      <c r="D476" t="s">
        <v>172</v>
      </c>
      <c r="E476" t="s">
        <v>28</v>
      </c>
      <c r="F476" t="s">
        <v>39</v>
      </c>
      <c r="G476" t="s">
        <v>40</v>
      </c>
      <c r="H476">
        <v>3</v>
      </c>
      <c r="I476">
        <v>261</v>
      </c>
      <c r="J476">
        <v>783</v>
      </c>
      <c r="K476" t="str">
        <f>TEXT(Table1[[#This Row],[Date]],"dddd")</f>
        <v>Wednesday</v>
      </c>
      <c r="L476" t="str">
        <f>TEXT(Table1[[#This Row],[Date]],"mmm-yyyy")</f>
        <v>May-2023</v>
      </c>
      <c r="M476">
        <f>HOUR(Table1[[#This Row],[Time]])</f>
        <v>21</v>
      </c>
    </row>
    <row r="477" spans="1:13" x14ac:dyDescent="0.3">
      <c r="A477">
        <v>1476</v>
      </c>
      <c r="B477" s="3">
        <v>45071.203502916665</v>
      </c>
      <c r="C477" s="1">
        <v>45071.203502916665</v>
      </c>
      <c r="D477" t="s">
        <v>260</v>
      </c>
      <c r="E477" t="s">
        <v>28</v>
      </c>
      <c r="F477" t="s">
        <v>11</v>
      </c>
      <c r="G477" t="s">
        <v>22</v>
      </c>
      <c r="H477">
        <v>5</v>
      </c>
      <c r="I477">
        <v>262</v>
      </c>
      <c r="J477">
        <v>1310</v>
      </c>
      <c r="K477" t="str">
        <f>TEXT(Table1[[#This Row],[Date]],"dddd")</f>
        <v>Thursday</v>
      </c>
      <c r="L477" t="str">
        <f>TEXT(Table1[[#This Row],[Date]],"mmm-yyyy")</f>
        <v>May-2023</v>
      </c>
      <c r="M477">
        <f>HOUR(Table1[[#This Row],[Time]])</f>
        <v>4</v>
      </c>
    </row>
    <row r="478" spans="1:13" x14ac:dyDescent="0.3">
      <c r="A478">
        <v>1477</v>
      </c>
      <c r="B478" s="3">
        <v>45071.507089236111</v>
      </c>
      <c r="C478" s="1">
        <v>45071.507089236111</v>
      </c>
      <c r="D478" t="s">
        <v>147</v>
      </c>
      <c r="E478" t="s">
        <v>17</v>
      </c>
      <c r="F478" t="s">
        <v>24</v>
      </c>
      <c r="G478" t="s">
        <v>33</v>
      </c>
      <c r="H478">
        <v>4</v>
      </c>
      <c r="I478">
        <v>931</v>
      </c>
      <c r="J478">
        <v>3724</v>
      </c>
      <c r="K478" t="str">
        <f>TEXT(Table1[[#This Row],[Date]],"dddd")</f>
        <v>Thursday</v>
      </c>
      <c r="L478" t="str">
        <f>TEXT(Table1[[#This Row],[Date]],"mmm-yyyy")</f>
        <v>May-2023</v>
      </c>
      <c r="M478">
        <f>HOUR(Table1[[#This Row],[Time]])</f>
        <v>12</v>
      </c>
    </row>
    <row r="479" spans="1:13" x14ac:dyDescent="0.3">
      <c r="A479">
        <v>1478</v>
      </c>
      <c r="B479" s="3">
        <v>45071.810675567132</v>
      </c>
      <c r="C479" s="1">
        <v>45071.810675567132</v>
      </c>
      <c r="D479" t="s">
        <v>216</v>
      </c>
      <c r="E479" t="s">
        <v>10</v>
      </c>
      <c r="F479" t="s">
        <v>39</v>
      </c>
      <c r="G479" t="s">
        <v>25</v>
      </c>
      <c r="H479">
        <v>1</v>
      </c>
      <c r="I479">
        <v>892</v>
      </c>
      <c r="J479">
        <v>892</v>
      </c>
      <c r="K479" t="str">
        <f>TEXT(Table1[[#This Row],[Date]],"dddd")</f>
        <v>Thursday</v>
      </c>
      <c r="L479" t="str">
        <f>TEXT(Table1[[#This Row],[Date]],"mmm-yyyy")</f>
        <v>May-2023</v>
      </c>
      <c r="M479">
        <f>HOUR(Table1[[#This Row],[Time]])</f>
        <v>19</v>
      </c>
    </row>
    <row r="480" spans="1:13" x14ac:dyDescent="0.3">
      <c r="A480">
        <v>1479</v>
      </c>
      <c r="B480" s="3">
        <v>45072.114261886571</v>
      </c>
      <c r="C480" s="1">
        <v>45072.114261886571</v>
      </c>
      <c r="D480" t="s">
        <v>167</v>
      </c>
      <c r="E480" t="s">
        <v>14</v>
      </c>
      <c r="F480" t="s">
        <v>15</v>
      </c>
      <c r="G480" t="s">
        <v>35</v>
      </c>
      <c r="H480">
        <v>5</v>
      </c>
      <c r="I480">
        <v>891</v>
      </c>
      <c r="J480">
        <v>4455</v>
      </c>
      <c r="K480" t="str">
        <f>TEXT(Table1[[#This Row],[Date]],"dddd")</f>
        <v>Friday</v>
      </c>
      <c r="L480" t="str">
        <f>TEXT(Table1[[#This Row],[Date]],"mmm-yyyy")</f>
        <v>May-2023</v>
      </c>
      <c r="M480">
        <f>HOUR(Table1[[#This Row],[Time]])</f>
        <v>2</v>
      </c>
    </row>
    <row r="481" spans="1:13" x14ac:dyDescent="0.3">
      <c r="A481">
        <v>1480</v>
      </c>
      <c r="B481" s="3">
        <v>45072.417848206016</v>
      </c>
      <c r="C481" s="1">
        <v>45072.417848206016</v>
      </c>
      <c r="D481" t="s">
        <v>261</v>
      </c>
      <c r="E481" t="s">
        <v>17</v>
      </c>
      <c r="F481" t="s">
        <v>11</v>
      </c>
      <c r="G481" t="s">
        <v>35</v>
      </c>
      <c r="H481">
        <v>5</v>
      </c>
      <c r="I481">
        <v>623</v>
      </c>
      <c r="J481">
        <v>3115</v>
      </c>
      <c r="K481" t="str">
        <f>TEXT(Table1[[#This Row],[Date]],"dddd")</f>
        <v>Friday</v>
      </c>
      <c r="L481" t="str">
        <f>TEXT(Table1[[#This Row],[Date]],"mmm-yyyy")</f>
        <v>May-2023</v>
      </c>
      <c r="M481">
        <f>HOUR(Table1[[#This Row],[Time]])</f>
        <v>10</v>
      </c>
    </row>
    <row r="482" spans="1:13" x14ac:dyDescent="0.3">
      <c r="A482">
        <v>1481</v>
      </c>
      <c r="B482" s="3">
        <v>45072.721434525462</v>
      </c>
      <c r="C482" s="1">
        <v>45072.721434525462</v>
      </c>
      <c r="D482" t="s">
        <v>36</v>
      </c>
      <c r="E482" t="s">
        <v>28</v>
      </c>
      <c r="F482" t="s">
        <v>18</v>
      </c>
      <c r="G482" t="s">
        <v>19</v>
      </c>
      <c r="H482">
        <v>1</v>
      </c>
      <c r="I482">
        <v>885</v>
      </c>
      <c r="J482">
        <v>885</v>
      </c>
      <c r="K482" t="str">
        <f>TEXT(Table1[[#This Row],[Date]],"dddd")</f>
        <v>Friday</v>
      </c>
      <c r="L482" t="str">
        <f>TEXT(Table1[[#This Row],[Date]],"mmm-yyyy")</f>
        <v>May-2023</v>
      </c>
      <c r="M482">
        <f>HOUR(Table1[[#This Row],[Time]])</f>
        <v>17</v>
      </c>
    </row>
    <row r="483" spans="1:13" x14ac:dyDescent="0.3">
      <c r="A483">
        <v>1482</v>
      </c>
      <c r="B483" s="3">
        <v>45073.025020856483</v>
      </c>
      <c r="C483" s="1">
        <v>45073.025020856483</v>
      </c>
      <c r="D483" t="s">
        <v>204</v>
      </c>
      <c r="E483" t="s">
        <v>28</v>
      </c>
      <c r="F483" t="s">
        <v>18</v>
      </c>
      <c r="G483" t="s">
        <v>33</v>
      </c>
      <c r="H483">
        <v>4</v>
      </c>
      <c r="I483">
        <v>370</v>
      </c>
      <c r="J483">
        <v>1480</v>
      </c>
      <c r="K483" t="str">
        <f>TEXT(Table1[[#This Row],[Date]],"dddd")</f>
        <v>Saturday</v>
      </c>
      <c r="L483" t="str">
        <f>TEXT(Table1[[#This Row],[Date]],"mmm-yyyy")</f>
        <v>May-2023</v>
      </c>
      <c r="M483">
        <f>HOUR(Table1[[#This Row],[Time]])</f>
        <v>0</v>
      </c>
    </row>
    <row r="484" spans="1:13" x14ac:dyDescent="0.3">
      <c r="A484">
        <v>1483</v>
      </c>
      <c r="B484" s="3">
        <v>45073.328607175928</v>
      </c>
      <c r="C484" s="1">
        <v>45073.328607175928</v>
      </c>
      <c r="D484" t="s">
        <v>250</v>
      </c>
      <c r="E484" t="s">
        <v>17</v>
      </c>
      <c r="F484" t="s">
        <v>39</v>
      </c>
      <c r="G484" t="s">
        <v>12</v>
      </c>
      <c r="H484">
        <v>2</v>
      </c>
      <c r="I484">
        <v>591</v>
      </c>
      <c r="J484">
        <v>1182</v>
      </c>
      <c r="K484" t="str">
        <f>TEXT(Table1[[#This Row],[Date]],"dddd")</f>
        <v>Saturday</v>
      </c>
      <c r="L484" t="str">
        <f>TEXT(Table1[[#This Row],[Date]],"mmm-yyyy")</f>
        <v>May-2023</v>
      </c>
      <c r="M484">
        <f>HOUR(Table1[[#This Row],[Time]])</f>
        <v>7</v>
      </c>
    </row>
    <row r="485" spans="1:13" x14ac:dyDescent="0.3">
      <c r="A485">
        <v>1484</v>
      </c>
      <c r="B485" s="3">
        <v>45073.632193495374</v>
      </c>
      <c r="C485" s="1">
        <v>45073.632193495374</v>
      </c>
      <c r="D485" t="s">
        <v>161</v>
      </c>
      <c r="E485" t="s">
        <v>10</v>
      </c>
      <c r="F485" t="s">
        <v>18</v>
      </c>
      <c r="G485" t="s">
        <v>19</v>
      </c>
      <c r="H485">
        <v>5</v>
      </c>
      <c r="I485">
        <v>307</v>
      </c>
      <c r="J485">
        <v>1535</v>
      </c>
      <c r="K485" t="str">
        <f>TEXT(Table1[[#This Row],[Date]],"dddd")</f>
        <v>Saturday</v>
      </c>
      <c r="L485" t="str">
        <f>TEXT(Table1[[#This Row],[Date]],"mmm-yyyy")</f>
        <v>May-2023</v>
      </c>
      <c r="M485">
        <f>HOUR(Table1[[#This Row],[Time]])</f>
        <v>15</v>
      </c>
    </row>
    <row r="486" spans="1:13" x14ac:dyDescent="0.3">
      <c r="A486">
        <v>1485</v>
      </c>
      <c r="B486" s="3">
        <v>45073.935779814812</v>
      </c>
      <c r="C486" s="1">
        <v>45073.935779814812</v>
      </c>
      <c r="D486" t="s">
        <v>45</v>
      </c>
      <c r="E486" t="s">
        <v>14</v>
      </c>
      <c r="F486" t="s">
        <v>18</v>
      </c>
      <c r="G486" t="s">
        <v>42</v>
      </c>
      <c r="H486">
        <v>1</v>
      </c>
      <c r="I486">
        <v>638</v>
      </c>
      <c r="J486">
        <v>638</v>
      </c>
      <c r="K486" t="str">
        <f>TEXT(Table1[[#This Row],[Date]],"dddd")</f>
        <v>Saturday</v>
      </c>
      <c r="L486" t="str">
        <f>TEXT(Table1[[#This Row],[Date]],"mmm-yyyy")</f>
        <v>May-2023</v>
      </c>
      <c r="M486">
        <f>HOUR(Table1[[#This Row],[Time]])</f>
        <v>22</v>
      </c>
    </row>
    <row r="487" spans="1:13" x14ac:dyDescent="0.3">
      <c r="A487">
        <v>1486</v>
      </c>
      <c r="B487" s="3">
        <v>45074.239366134258</v>
      </c>
      <c r="C487" s="1">
        <v>45074.239366134258</v>
      </c>
      <c r="D487" t="s">
        <v>232</v>
      </c>
      <c r="E487" t="s">
        <v>28</v>
      </c>
      <c r="F487" t="s">
        <v>24</v>
      </c>
      <c r="G487" t="s">
        <v>33</v>
      </c>
      <c r="H487">
        <v>3</v>
      </c>
      <c r="I487">
        <v>683</v>
      </c>
      <c r="J487">
        <v>2049</v>
      </c>
      <c r="K487" t="str">
        <f>TEXT(Table1[[#This Row],[Date]],"dddd")</f>
        <v>Sunday</v>
      </c>
      <c r="L487" t="str">
        <f>TEXT(Table1[[#This Row],[Date]],"mmm-yyyy")</f>
        <v>May-2023</v>
      </c>
      <c r="M487">
        <f>HOUR(Table1[[#This Row],[Time]])</f>
        <v>5</v>
      </c>
    </row>
    <row r="488" spans="1:13" x14ac:dyDescent="0.3">
      <c r="A488">
        <v>1487</v>
      </c>
      <c r="B488" s="3">
        <v>45074.542952465279</v>
      </c>
      <c r="C488" s="1">
        <v>45074.542952465279</v>
      </c>
      <c r="D488" t="s">
        <v>13</v>
      </c>
      <c r="E488" t="s">
        <v>17</v>
      </c>
      <c r="F488" t="s">
        <v>15</v>
      </c>
      <c r="G488" t="s">
        <v>40</v>
      </c>
      <c r="H488">
        <v>1</v>
      </c>
      <c r="I488">
        <v>159</v>
      </c>
      <c r="J488">
        <v>159</v>
      </c>
      <c r="K488" t="str">
        <f>TEXT(Table1[[#This Row],[Date]],"dddd")</f>
        <v>Sunday</v>
      </c>
      <c r="L488" t="str">
        <f>TEXT(Table1[[#This Row],[Date]],"mmm-yyyy")</f>
        <v>May-2023</v>
      </c>
      <c r="M488">
        <f>HOUR(Table1[[#This Row],[Time]])</f>
        <v>13</v>
      </c>
    </row>
    <row r="489" spans="1:13" x14ac:dyDescent="0.3">
      <c r="A489">
        <v>1488</v>
      </c>
      <c r="B489" s="3">
        <v>45074.846538784725</v>
      </c>
      <c r="C489" s="1">
        <v>45074.846538784725</v>
      </c>
      <c r="D489" t="s">
        <v>74</v>
      </c>
      <c r="E489" t="s">
        <v>28</v>
      </c>
      <c r="F489" t="s">
        <v>18</v>
      </c>
      <c r="G489" t="s">
        <v>42</v>
      </c>
      <c r="H489">
        <v>3</v>
      </c>
      <c r="I489">
        <v>529</v>
      </c>
      <c r="J489">
        <v>1587</v>
      </c>
      <c r="K489" t="str">
        <f>TEXT(Table1[[#This Row],[Date]],"dddd")</f>
        <v>Sunday</v>
      </c>
      <c r="L489" t="str">
        <f>TEXT(Table1[[#This Row],[Date]],"mmm-yyyy")</f>
        <v>May-2023</v>
      </c>
      <c r="M489">
        <f>HOUR(Table1[[#This Row],[Time]])</f>
        <v>20</v>
      </c>
    </row>
    <row r="490" spans="1:13" x14ac:dyDescent="0.3">
      <c r="A490">
        <v>1489</v>
      </c>
      <c r="B490" s="3">
        <v>45075.15012510417</v>
      </c>
      <c r="C490" s="1">
        <v>45075.15012510417</v>
      </c>
      <c r="D490" t="s">
        <v>20</v>
      </c>
      <c r="E490" t="s">
        <v>28</v>
      </c>
      <c r="F490" t="s">
        <v>18</v>
      </c>
      <c r="G490" t="s">
        <v>19</v>
      </c>
      <c r="H490">
        <v>4</v>
      </c>
      <c r="I490">
        <v>756</v>
      </c>
      <c r="J490">
        <v>3024</v>
      </c>
      <c r="K490" t="str">
        <f>TEXT(Table1[[#This Row],[Date]],"dddd")</f>
        <v>Monday</v>
      </c>
      <c r="L490" t="str">
        <f>TEXT(Table1[[#This Row],[Date]],"mmm-yyyy")</f>
        <v>May-2023</v>
      </c>
      <c r="M490">
        <f>HOUR(Table1[[#This Row],[Time]])</f>
        <v>3</v>
      </c>
    </row>
    <row r="491" spans="1:13" x14ac:dyDescent="0.3">
      <c r="A491">
        <v>1490</v>
      </c>
      <c r="B491" s="3">
        <v>45075.453711423608</v>
      </c>
      <c r="C491" s="1">
        <v>45075.453711423608</v>
      </c>
      <c r="D491" t="s">
        <v>152</v>
      </c>
      <c r="E491" t="s">
        <v>14</v>
      </c>
      <c r="F491" t="s">
        <v>11</v>
      </c>
      <c r="G491" t="s">
        <v>56</v>
      </c>
      <c r="H491">
        <v>2</v>
      </c>
      <c r="I491">
        <v>704</v>
      </c>
      <c r="J491">
        <v>1408</v>
      </c>
      <c r="K491" t="str">
        <f>TEXT(Table1[[#This Row],[Date]],"dddd")</f>
        <v>Monday</v>
      </c>
      <c r="L491" t="str">
        <f>TEXT(Table1[[#This Row],[Date]],"mmm-yyyy")</f>
        <v>May-2023</v>
      </c>
      <c r="M491">
        <f>HOUR(Table1[[#This Row],[Time]])</f>
        <v>10</v>
      </c>
    </row>
    <row r="492" spans="1:13" x14ac:dyDescent="0.3">
      <c r="A492">
        <v>1491</v>
      </c>
      <c r="B492" s="3">
        <v>45075.757297743054</v>
      </c>
      <c r="C492" s="1">
        <v>45075.757297743054</v>
      </c>
      <c r="D492" t="s">
        <v>212</v>
      </c>
      <c r="E492" t="s">
        <v>10</v>
      </c>
      <c r="F492" t="s">
        <v>39</v>
      </c>
      <c r="G492" t="s">
        <v>42</v>
      </c>
      <c r="H492">
        <v>1</v>
      </c>
      <c r="I492">
        <v>408</v>
      </c>
      <c r="J492">
        <v>408</v>
      </c>
      <c r="K492" t="str">
        <f>TEXT(Table1[[#This Row],[Date]],"dddd")</f>
        <v>Monday</v>
      </c>
      <c r="L492" t="str">
        <f>TEXT(Table1[[#This Row],[Date]],"mmm-yyyy")</f>
        <v>May-2023</v>
      </c>
      <c r="M492">
        <f>HOUR(Table1[[#This Row],[Time]])</f>
        <v>18</v>
      </c>
    </row>
    <row r="493" spans="1:13" x14ac:dyDescent="0.3">
      <c r="A493">
        <v>1492</v>
      </c>
      <c r="B493" s="3">
        <v>45076.060884074075</v>
      </c>
      <c r="C493" s="1">
        <v>45076.060884074075</v>
      </c>
      <c r="D493" t="s">
        <v>262</v>
      </c>
      <c r="E493" t="s">
        <v>10</v>
      </c>
      <c r="F493" t="s">
        <v>24</v>
      </c>
      <c r="G493" t="s">
        <v>42</v>
      </c>
      <c r="H493">
        <v>5</v>
      </c>
      <c r="I493">
        <v>619</v>
      </c>
      <c r="J493">
        <v>3095</v>
      </c>
      <c r="K493" t="str">
        <f>TEXT(Table1[[#This Row],[Date]],"dddd")</f>
        <v>Tuesday</v>
      </c>
      <c r="L493" t="str">
        <f>TEXT(Table1[[#This Row],[Date]],"mmm-yyyy")</f>
        <v>May-2023</v>
      </c>
      <c r="M493">
        <f>HOUR(Table1[[#This Row],[Time]])</f>
        <v>1</v>
      </c>
    </row>
    <row r="494" spans="1:13" x14ac:dyDescent="0.3">
      <c r="A494">
        <v>1493</v>
      </c>
      <c r="B494" s="3">
        <v>45076.364470393521</v>
      </c>
      <c r="C494" s="1">
        <v>45076.364470393521</v>
      </c>
      <c r="D494" t="s">
        <v>263</v>
      </c>
      <c r="E494" t="s">
        <v>14</v>
      </c>
      <c r="F494" t="s">
        <v>39</v>
      </c>
      <c r="G494" t="s">
        <v>29</v>
      </c>
      <c r="H494">
        <v>4</v>
      </c>
      <c r="I494">
        <v>690</v>
      </c>
      <c r="J494">
        <v>2760</v>
      </c>
      <c r="K494" t="str">
        <f>TEXT(Table1[[#This Row],[Date]],"dddd")</f>
        <v>Tuesday</v>
      </c>
      <c r="L494" t="str">
        <f>TEXT(Table1[[#This Row],[Date]],"mmm-yyyy")</f>
        <v>May-2023</v>
      </c>
      <c r="M494">
        <f>HOUR(Table1[[#This Row],[Time]])</f>
        <v>8</v>
      </c>
    </row>
    <row r="495" spans="1:13" x14ac:dyDescent="0.3">
      <c r="A495">
        <v>1494</v>
      </c>
      <c r="B495" s="3">
        <v>45076.668056712966</v>
      </c>
      <c r="C495" s="1">
        <v>45076.668056712966</v>
      </c>
      <c r="D495" t="s">
        <v>264</v>
      </c>
      <c r="E495" t="s">
        <v>17</v>
      </c>
      <c r="F495" t="s">
        <v>11</v>
      </c>
      <c r="G495" t="s">
        <v>12</v>
      </c>
      <c r="H495">
        <v>1</v>
      </c>
      <c r="I495">
        <v>126</v>
      </c>
      <c r="J495">
        <v>126</v>
      </c>
      <c r="K495" t="str">
        <f>TEXT(Table1[[#This Row],[Date]],"dddd")</f>
        <v>Tuesday</v>
      </c>
      <c r="L495" t="str">
        <f>TEXT(Table1[[#This Row],[Date]],"mmm-yyyy")</f>
        <v>May-2023</v>
      </c>
      <c r="M495">
        <f>HOUR(Table1[[#This Row],[Time]])</f>
        <v>16</v>
      </c>
    </row>
    <row r="496" spans="1:13" x14ac:dyDescent="0.3">
      <c r="A496">
        <v>1495</v>
      </c>
      <c r="B496" s="3">
        <v>45076.971643032404</v>
      </c>
      <c r="C496" s="1">
        <v>45076.971643032404</v>
      </c>
      <c r="D496" t="s">
        <v>265</v>
      </c>
      <c r="E496" t="s">
        <v>17</v>
      </c>
      <c r="F496" t="s">
        <v>11</v>
      </c>
      <c r="G496" t="s">
        <v>56</v>
      </c>
      <c r="H496">
        <v>5</v>
      </c>
      <c r="I496">
        <v>785</v>
      </c>
      <c r="J496">
        <v>3925</v>
      </c>
      <c r="K496" t="str">
        <f>TEXT(Table1[[#This Row],[Date]],"dddd")</f>
        <v>Tuesday</v>
      </c>
      <c r="L496" t="str">
        <f>TEXT(Table1[[#This Row],[Date]],"mmm-yyyy")</f>
        <v>May-2023</v>
      </c>
      <c r="M496">
        <f>HOUR(Table1[[#This Row],[Time]])</f>
        <v>23</v>
      </c>
    </row>
    <row r="497" spans="1:13" x14ac:dyDescent="0.3">
      <c r="A497">
        <v>1496</v>
      </c>
      <c r="B497" s="3">
        <v>45077.275229363426</v>
      </c>
      <c r="C497" s="1">
        <v>45077.275229363426</v>
      </c>
      <c r="D497" t="s">
        <v>266</v>
      </c>
      <c r="E497" t="s">
        <v>10</v>
      </c>
      <c r="F497" t="s">
        <v>11</v>
      </c>
      <c r="G497" t="s">
        <v>12</v>
      </c>
      <c r="H497">
        <v>1</v>
      </c>
      <c r="I497">
        <v>661</v>
      </c>
      <c r="J497">
        <v>661</v>
      </c>
      <c r="K497" t="str">
        <f>TEXT(Table1[[#This Row],[Date]],"dddd")</f>
        <v>Wednesday</v>
      </c>
      <c r="L497" t="str">
        <f>TEXT(Table1[[#This Row],[Date]],"mmm-yyyy")</f>
        <v>May-2023</v>
      </c>
      <c r="M497">
        <f>HOUR(Table1[[#This Row],[Time]])</f>
        <v>6</v>
      </c>
    </row>
    <row r="498" spans="1:13" x14ac:dyDescent="0.3">
      <c r="A498">
        <v>1497</v>
      </c>
      <c r="B498" s="3">
        <v>45077.578815682871</v>
      </c>
      <c r="C498" s="1">
        <v>45077.578815682871</v>
      </c>
      <c r="D498" t="s">
        <v>267</v>
      </c>
      <c r="E498" t="s">
        <v>28</v>
      </c>
      <c r="F498" t="s">
        <v>18</v>
      </c>
      <c r="G498" t="s">
        <v>12</v>
      </c>
      <c r="H498">
        <v>3</v>
      </c>
      <c r="I498">
        <v>298</v>
      </c>
      <c r="J498">
        <v>894</v>
      </c>
      <c r="K498" t="str">
        <f>TEXT(Table1[[#This Row],[Date]],"dddd")</f>
        <v>Wednesday</v>
      </c>
      <c r="L498" t="str">
        <f>TEXT(Table1[[#This Row],[Date]],"mmm-yyyy")</f>
        <v>May-2023</v>
      </c>
      <c r="M498">
        <f>HOUR(Table1[[#This Row],[Time]])</f>
        <v>13</v>
      </c>
    </row>
    <row r="499" spans="1:13" x14ac:dyDescent="0.3">
      <c r="A499">
        <v>1498</v>
      </c>
      <c r="B499" s="3">
        <v>45077.882402002317</v>
      </c>
      <c r="C499" s="1">
        <v>45077.882402002317</v>
      </c>
      <c r="D499" t="s">
        <v>110</v>
      </c>
      <c r="E499" t="s">
        <v>28</v>
      </c>
      <c r="F499" t="s">
        <v>39</v>
      </c>
      <c r="G499" t="s">
        <v>56</v>
      </c>
      <c r="H499">
        <v>1</v>
      </c>
      <c r="I499">
        <v>486</v>
      </c>
      <c r="J499">
        <v>486</v>
      </c>
      <c r="K499" t="str">
        <f>TEXT(Table1[[#This Row],[Date]],"dddd")</f>
        <v>Wednesday</v>
      </c>
      <c r="L499" t="str">
        <f>TEXT(Table1[[#This Row],[Date]],"mmm-yyyy")</f>
        <v>May-2023</v>
      </c>
      <c r="M499">
        <f>HOUR(Table1[[#This Row],[Time]])</f>
        <v>21</v>
      </c>
    </row>
    <row r="500" spans="1:13" x14ac:dyDescent="0.3">
      <c r="A500">
        <v>1499</v>
      </c>
      <c r="B500" s="3">
        <v>45078.185988321762</v>
      </c>
      <c r="C500" s="1">
        <v>45078.185988321762</v>
      </c>
      <c r="D500" t="s">
        <v>173</v>
      </c>
      <c r="E500" t="s">
        <v>17</v>
      </c>
      <c r="F500" t="s">
        <v>39</v>
      </c>
      <c r="G500" t="s">
        <v>42</v>
      </c>
      <c r="H500">
        <v>1</v>
      </c>
      <c r="I500">
        <v>448</v>
      </c>
      <c r="J500">
        <v>448</v>
      </c>
      <c r="K500" t="str">
        <f>TEXT(Table1[[#This Row],[Date]],"dddd")</f>
        <v>Thursday</v>
      </c>
      <c r="L500" t="str">
        <f>TEXT(Table1[[#This Row],[Date]],"mmm-yyyy")</f>
        <v>Jun-2023</v>
      </c>
      <c r="M500">
        <f>HOUR(Table1[[#This Row],[Time]])</f>
        <v>4</v>
      </c>
    </row>
    <row r="501" spans="1:13" x14ac:dyDescent="0.3">
      <c r="A501">
        <v>1500</v>
      </c>
      <c r="B501" s="3">
        <v>45078.4895746412</v>
      </c>
      <c r="C501" s="1">
        <v>45078.4895746412</v>
      </c>
      <c r="D501" t="s">
        <v>232</v>
      </c>
      <c r="E501" t="s">
        <v>14</v>
      </c>
      <c r="F501" t="s">
        <v>39</v>
      </c>
      <c r="G501" t="s">
        <v>12</v>
      </c>
      <c r="H501">
        <v>1</v>
      </c>
      <c r="I501">
        <v>792</v>
      </c>
      <c r="J501">
        <v>792</v>
      </c>
      <c r="K501" t="str">
        <f>TEXT(Table1[[#This Row],[Date]],"dddd")</f>
        <v>Thursday</v>
      </c>
      <c r="L501" t="str">
        <f>TEXT(Table1[[#This Row],[Date]],"mmm-yyyy")</f>
        <v>Jun-2023</v>
      </c>
      <c r="M501">
        <f>HOUR(Table1[[#This Row],[Time]])</f>
        <v>11</v>
      </c>
    </row>
    <row r="502" spans="1:13" x14ac:dyDescent="0.3">
      <c r="A502">
        <v>1501</v>
      </c>
      <c r="B502" s="3">
        <v>45078.793160972222</v>
      </c>
      <c r="C502" s="1">
        <v>45078.793160972222</v>
      </c>
      <c r="D502" t="s">
        <v>268</v>
      </c>
      <c r="E502" t="s">
        <v>28</v>
      </c>
      <c r="F502" t="s">
        <v>15</v>
      </c>
      <c r="G502" t="s">
        <v>29</v>
      </c>
      <c r="H502">
        <v>4</v>
      </c>
      <c r="I502">
        <v>635</v>
      </c>
      <c r="J502">
        <v>2540</v>
      </c>
      <c r="K502" t="str">
        <f>TEXT(Table1[[#This Row],[Date]],"dddd")</f>
        <v>Thursday</v>
      </c>
      <c r="L502" t="str">
        <f>TEXT(Table1[[#This Row],[Date]],"mmm-yyyy")</f>
        <v>Jun-2023</v>
      </c>
      <c r="M502">
        <f>HOUR(Table1[[#This Row],[Time]])</f>
        <v>19</v>
      </c>
    </row>
    <row r="503" spans="1:13" x14ac:dyDescent="0.3">
      <c r="A503">
        <v>1502</v>
      </c>
      <c r="B503" s="3">
        <v>45079.096747291667</v>
      </c>
      <c r="C503" s="1">
        <v>45079.096747291667</v>
      </c>
      <c r="D503" t="s">
        <v>133</v>
      </c>
      <c r="E503" t="s">
        <v>17</v>
      </c>
      <c r="F503" t="s">
        <v>24</v>
      </c>
      <c r="G503" t="s">
        <v>33</v>
      </c>
      <c r="H503">
        <v>1</v>
      </c>
      <c r="I503">
        <v>927</v>
      </c>
      <c r="J503">
        <v>927</v>
      </c>
      <c r="K503" t="str">
        <f>TEXT(Table1[[#This Row],[Date]],"dddd")</f>
        <v>Friday</v>
      </c>
      <c r="L503" t="str">
        <f>TEXT(Table1[[#This Row],[Date]],"mmm-yyyy")</f>
        <v>Jun-2023</v>
      </c>
      <c r="M503">
        <f>HOUR(Table1[[#This Row],[Time]])</f>
        <v>2</v>
      </c>
    </row>
    <row r="504" spans="1:13" x14ac:dyDescent="0.3">
      <c r="A504">
        <v>1503</v>
      </c>
      <c r="B504" s="3">
        <v>45079.400333611113</v>
      </c>
      <c r="C504" s="1">
        <v>45079.400333611113</v>
      </c>
      <c r="D504" t="s">
        <v>269</v>
      </c>
      <c r="E504" t="s">
        <v>14</v>
      </c>
      <c r="F504" t="s">
        <v>18</v>
      </c>
      <c r="G504" t="s">
        <v>42</v>
      </c>
      <c r="H504">
        <v>5</v>
      </c>
      <c r="I504">
        <v>477</v>
      </c>
      <c r="J504">
        <v>2385</v>
      </c>
      <c r="K504" t="str">
        <f>TEXT(Table1[[#This Row],[Date]],"dddd")</f>
        <v>Friday</v>
      </c>
      <c r="L504" t="str">
        <f>TEXT(Table1[[#This Row],[Date]],"mmm-yyyy")</f>
        <v>Jun-2023</v>
      </c>
      <c r="M504">
        <f>HOUR(Table1[[#This Row],[Time]])</f>
        <v>9</v>
      </c>
    </row>
    <row r="505" spans="1:13" x14ac:dyDescent="0.3">
      <c r="A505">
        <v>1504</v>
      </c>
      <c r="B505" s="3">
        <v>45079.703919930558</v>
      </c>
      <c r="C505" s="1">
        <v>45079.703919930558</v>
      </c>
      <c r="D505" t="s">
        <v>47</v>
      </c>
      <c r="E505" t="s">
        <v>10</v>
      </c>
      <c r="F505" t="s">
        <v>24</v>
      </c>
      <c r="G505" t="s">
        <v>22</v>
      </c>
      <c r="H505">
        <v>3</v>
      </c>
      <c r="I505">
        <v>998</v>
      </c>
      <c r="J505">
        <v>2994</v>
      </c>
      <c r="K505" t="str">
        <f>TEXT(Table1[[#This Row],[Date]],"dddd")</f>
        <v>Friday</v>
      </c>
      <c r="L505" t="str">
        <f>TEXT(Table1[[#This Row],[Date]],"mmm-yyyy")</f>
        <v>Jun-2023</v>
      </c>
      <c r="M505">
        <f>HOUR(Table1[[#This Row],[Time]])</f>
        <v>16</v>
      </c>
    </row>
    <row r="506" spans="1:13" x14ac:dyDescent="0.3">
      <c r="A506">
        <v>1505</v>
      </c>
      <c r="B506" s="3">
        <v>45080.007506249996</v>
      </c>
      <c r="C506" s="1">
        <v>45080.007506249996</v>
      </c>
      <c r="D506" t="s">
        <v>235</v>
      </c>
      <c r="E506" t="s">
        <v>14</v>
      </c>
      <c r="F506" t="s">
        <v>18</v>
      </c>
      <c r="G506" t="s">
        <v>25</v>
      </c>
      <c r="H506">
        <v>3</v>
      </c>
      <c r="I506">
        <v>657</v>
      </c>
      <c r="J506">
        <v>1971</v>
      </c>
      <c r="K506" t="str">
        <f>TEXT(Table1[[#This Row],[Date]],"dddd")</f>
        <v>Saturday</v>
      </c>
      <c r="L506" t="str">
        <f>TEXT(Table1[[#This Row],[Date]],"mmm-yyyy")</f>
        <v>Jun-2023</v>
      </c>
      <c r="M506">
        <f>HOUR(Table1[[#This Row],[Time]])</f>
        <v>0</v>
      </c>
    </row>
    <row r="507" spans="1:13" x14ac:dyDescent="0.3">
      <c r="A507">
        <v>1506</v>
      </c>
      <c r="B507" s="3">
        <v>45080.311092581018</v>
      </c>
      <c r="C507" s="1">
        <v>45080.311092581018</v>
      </c>
      <c r="D507" t="s">
        <v>270</v>
      </c>
      <c r="E507" t="s">
        <v>10</v>
      </c>
      <c r="F507" t="s">
        <v>39</v>
      </c>
      <c r="G507" t="s">
        <v>40</v>
      </c>
      <c r="H507">
        <v>1</v>
      </c>
      <c r="I507">
        <v>626</v>
      </c>
      <c r="J507">
        <v>626</v>
      </c>
      <c r="K507" t="str">
        <f>TEXT(Table1[[#This Row],[Date]],"dddd")</f>
        <v>Saturday</v>
      </c>
      <c r="L507" t="str">
        <f>TEXT(Table1[[#This Row],[Date]],"mmm-yyyy")</f>
        <v>Jun-2023</v>
      </c>
      <c r="M507">
        <f>HOUR(Table1[[#This Row],[Time]])</f>
        <v>7</v>
      </c>
    </row>
    <row r="508" spans="1:13" x14ac:dyDescent="0.3">
      <c r="A508">
        <v>1507</v>
      </c>
      <c r="B508" s="3">
        <v>45080.614678900463</v>
      </c>
      <c r="C508" s="1">
        <v>45080.614678900463</v>
      </c>
      <c r="D508" t="s">
        <v>271</v>
      </c>
      <c r="E508" t="s">
        <v>17</v>
      </c>
      <c r="F508" t="s">
        <v>15</v>
      </c>
      <c r="G508" t="s">
        <v>35</v>
      </c>
      <c r="H508">
        <v>4</v>
      </c>
      <c r="I508">
        <v>252</v>
      </c>
      <c r="J508">
        <v>1008</v>
      </c>
      <c r="K508" t="str">
        <f>TEXT(Table1[[#This Row],[Date]],"dddd")</f>
        <v>Saturday</v>
      </c>
      <c r="L508" t="str">
        <f>TEXT(Table1[[#This Row],[Date]],"mmm-yyyy")</f>
        <v>Jun-2023</v>
      </c>
      <c r="M508">
        <f>HOUR(Table1[[#This Row],[Time]])</f>
        <v>14</v>
      </c>
    </row>
    <row r="509" spans="1:13" x14ac:dyDescent="0.3">
      <c r="A509">
        <v>1508</v>
      </c>
      <c r="B509" s="3">
        <v>45080.918265219909</v>
      </c>
      <c r="C509" s="1">
        <v>45080.918265219909</v>
      </c>
      <c r="D509" t="s">
        <v>188</v>
      </c>
      <c r="E509" t="s">
        <v>14</v>
      </c>
      <c r="F509" t="s">
        <v>15</v>
      </c>
      <c r="G509" t="s">
        <v>33</v>
      </c>
      <c r="H509">
        <v>4</v>
      </c>
      <c r="I509">
        <v>833</v>
      </c>
      <c r="J509">
        <v>3332</v>
      </c>
      <c r="K509" t="str">
        <f>TEXT(Table1[[#This Row],[Date]],"dddd")</f>
        <v>Saturday</v>
      </c>
      <c r="L509" t="str">
        <f>TEXT(Table1[[#This Row],[Date]],"mmm-yyyy")</f>
        <v>Jun-2023</v>
      </c>
      <c r="M509">
        <f>HOUR(Table1[[#This Row],[Time]])</f>
        <v>22</v>
      </c>
    </row>
    <row r="510" spans="1:13" x14ac:dyDescent="0.3">
      <c r="A510">
        <v>1509</v>
      </c>
      <c r="B510" s="3">
        <v>45081.221851539354</v>
      </c>
      <c r="C510" s="1">
        <v>45081.221851539354</v>
      </c>
      <c r="D510" t="s">
        <v>90</v>
      </c>
      <c r="E510" t="s">
        <v>17</v>
      </c>
      <c r="F510" t="s">
        <v>39</v>
      </c>
      <c r="G510" t="s">
        <v>29</v>
      </c>
      <c r="H510">
        <v>5</v>
      </c>
      <c r="I510">
        <v>305</v>
      </c>
      <c r="J510">
        <v>1525</v>
      </c>
      <c r="K510" t="str">
        <f>TEXT(Table1[[#This Row],[Date]],"dddd")</f>
        <v>Sunday</v>
      </c>
      <c r="L510" t="str">
        <f>TEXT(Table1[[#This Row],[Date]],"mmm-yyyy")</f>
        <v>Jun-2023</v>
      </c>
      <c r="M510">
        <f>HOUR(Table1[[#This Row],[Time]])</f>
        <v>5</v>
      </c>
    </row>
    <row r="511" spans="1:13" x14ac:dyDescent="0.3">
      <c r="A511">
        <v>1510</v>
      </c>
      <c r="B511" s="3">
        <v>45081.525437870368</v>
      </c>
      <c r="C511" s="1">
        <v>45081.525437870368</v>
      </c>
      <c r="D511" t="s">
        <v>184</v>
      </c>
      <c r="E511" t="s">
        <v>10</v>
      </c>
      <c r="F511" t="s">
        <v>24</v>
      </c>
      <c r="G511" t="s">
        <v>33</v>
      </c>
      <c r="H511">
        <v>1</v>
      </c>
      <c r="I511">
        <v>554</v>
      </c>
      <c r="J511">
        <v>554</v>
      </c>
      <c r="K511" t="str">
        <f>TEXT(Table1[[#This Row],[Date]],"dddd")</f>
        <v>Sunday</v>
      </c>
      <c r="L511" t="str">
        <f>TEXT(Table1[[#This Row],[Date]],"mmm-yyyy")</f>
        <v>Jun-2023</v>
      </c>
      <c r="M511">
        <f>HOUR(Table1[[#This Row],[Time]])</f>
        <v>12</v>
      </c>
    </row>
    <row r="512" spans="1:13" x14ac:dyDescent="0.3">
      <c r="A512">
        <v>1511</v>
      </c>
      <c r="B512" s="3">
        <v>45081.829024189814</v>
      </c>
      <c r="C512" s="1">
        <v>45081.829024189814</v>
      </c>
      <c r="D512" t="s">
        <v>272</v>
      </c>
      <c r="E512" t="s">
        <v>28</v>
      </c>
      <c r="F512" t="s">
        <v>11</v>
      </c>
      <c r="G512" t="s">
        <v>19</v>
      </c>
      <c r="H512">
        <v>3</v>
      </c>
      <c r="I512">
        <v>372</v>
      </c>
      <c r="J512">
        <v>1116</v>
      </c>
      <c r="K512" t="str">
        <f>TEXT(Table1[[#This Row],[Date]],"dddd")</f>
        <v>Sunday</v>
      </c>
      <c r="L512" t="str">
        <f>TEXT(Table1[[#This Row],[Date]],"mmm-yyyy")</f>
        <v>Jun-2023</v>
      </c>
      <c r="M512">
        <f>HOUR(Table1[[#This Row],[Time]])</f>
        <v>19</v>
      </c>
    </row>
    <row r="513" spans="1:13" x14ac:dyDescent="0.3">
      <c r="A513">
        <v>1512</v>
      </c>
      <c r="B513" s="3">
        <v>45082.132610509259</v>
      </c>
      <c r="C513" s="1">
        <v>45082.132610509259</v>
      </c>
      <c r="D513" t="s">
        <v>262</v>
      </c>
      <c r="E513" t="s">
        <v>28</v>
      </c>
      <c r="F513" t="s">
        <v>39</v>
      </c>
      <c r="G513" t="s">
        <v>29</v>
      </c>
      <c r="H513">
        <v>4</v>
      </c>
      <c r="I513">
        <v>993</v>
      </c>
      <c r="J513">
        <v>3972</v>
      </c>
      <c r="K513" t="str">
        <f>TEXT(Table1[[#This Row],[Date]],"dddd")</f>
        <v>Monday</v>
      </c>
      <c r="L513" t="str">
        <f>TEXT(Table1[[#This Row],[Date]],"mmm-yyyy")</f>
        <v>Jun-2023</v>
      </c>
      <c r="M513">
        <f>HOUR(Table1[[#This Row],[Time]])</f>
        <v>3</v>
      </c>
    </row>
    <row r="514" spans="1:13" x14ac:dyDescent="0.3">
      <c r="A514">
        <v>1513</v>
      </c>
      <c r="B514" s="3">
        <v>45082.436196828705</v>
      </c>
      <c r="C514" s="1">
        <v>45082.436196828705</v>
      </c>
      <c r="D514" t="s">
        <v>220</v>
      </c>
      <c r="E514" t="s">
        <v>10</v>
      </c>
      <c r="F514" t="s">
        <v>18</v>
      </c>
      <c r="G514" t="s">
        <v>33</v>
      </c>
      <c r="H514">
        <v>1</v>
      </c>
      <c r="I514">
        <v>335</v>
      </c>
      <c r="J514">
        <v>335</v>
      </c>
      <c r="K514" t="str">
        <f>TEXT(Table1[[#This Row],[Date]],"dddd")</f>
        <v>Monday</v>
      </c>
      <c r="L514" t="str">
        <f>TEXT(Table1[[#This Row],[Date]],"mmm-yyyy")</f>
        <v>Jun-2023</v>
      </c>
      <c r="M514">
        <f>HOUR(Table1[[#This Row],[Time]])</f>
        <v>10</v>
      </c>
    </row>
    <row r="515" spans="1:13" x14ac:dyDescent="0.3">
      <c r="A515">
        <v>1514</v>
      </c>
      <c r="B515" s="3">
        <v>45082.73978314815</v>
      </c>
      <c r="C515" s="1">
        <v>45082.73978314815</v>
      </c>
      <c r="D515" t="s">
        <v>271</v>
      </c>
      <c r="E515" t="s">
        <v>28</v>
      </c>
      <c r="F515" t="s">
        <v>24</v>
      </c>
      <c r="G515" t="s">
        <v>12</v>
      </c>
      <c r="H515">
        <v>4</v>
      </c>
      <c r="I515">
        <v>951</v>
      </c>
      <c r="J515">
        <v>3804</v>
      </c>
      <c r="K515" t="str">
        <f>TEXT(Table1[[#This Row],[Date]],"dddd")</f>
        <v>Monday</v>
      </c>
      <c r="L515" t="str">
        <f>TEXT(Table1[[#This Row],[Date]],"mmm-yyyy")</f>
        <v>Jun-2023</v>
      </c>
      <c r="M515">
        <f>HOUR(Table1[[#This Row],[Time]])</f>
        <v>17</v>
      </c>
    </row>
    <row r="516" spans="1:13" x14ac:dyDescent="0.3">
      <c r="A516">
        <v>1515</v>
      </c>
      <c r="B516" s="3">
        <v>45083.043369479165</v>
      </c>
      <c r="C516" s="1">
        <v>45083.043369479165</v>
      </c>
      <c r="D516" t="s">
        <v>138</v>
      </c>
      <c r="E516" t="s">
        <v>28</v>
      </c>
      <c r="F516" t="s">
        <v>11</v>
      </c>
      <c r="G516" t="s">
        <v>42</v>
      </c>
      <c r="H516">
        <v>4</v>
      </c>
      <c r="I516">
        <v>839</v>
      </c>
      <c r="J516">
        <v>3356</v>
      </c>
      <c r="K516" t="str">
        <f>TEXT(Table1[[#This Row],[Date]],"dddd")</f>
        <v>Tuesday</v>
      </c>
      <c r="L516" t="str">
        <f>TEXT(Table1[[#This Row],[Date]],"mmm-yyyy")</f>
        <v>Jun-2023</v>
      </c>
      <c r="M516">
        <f>HOUR(Table1[[#This Row],[Time]])</f>
        <v>1</v>
      </c>
    </row>
    <row r="517" spans="1:13" x14ac:dyDescent="0.3">
      <c r="A517">
        <v>1516</v>
      </c>
      <c r="B517" s="3">
        <v>45083.34695579861</v>
      </c>
      <c r="C517" s="1">
        <v>45083.34695579861</v>
      </c>
      <c r="D517" t="s">
        <v>234</v>
      </c>
      <c r="E517" t="s">
        <v>14</v>
      </c>
      <c r="F517" t="s">
        <v>15</v>
      </c>
      <c r="G517" t="s">
        <v>19</v>
      </c>
      <c r="H517">
        <v>3</v>
      </c>
      <c r="I517">
        <v>620</v>
      </c>
      <c r="J517">
        <v>1860</v>
      </c>
      <c r="K517" t="str">
        <f>TEXT(Table1[[#This Row],[Date]],"dddd")</f>
        <v>Tuesday</v>
      </c>
      <c r="L517" t="str">
        <f>TEXT(Table1[[#This Row],[Date]],"mmm-yyyy")</f>
        <v>Jun-2023</v>
      </c>
      <c r="M517">
        <f>HOUR(Table1[[#This Row],[Time]])</f>
        <v>8</v>
      </c>
    </row>
    <row r="518" spans="1:13" x14ac:dyDescent="0.3">
      <c r="A518">
        <v>1517</v>
      </c>
      <c r="B518" s="3">
        <v>45083.650542118055</v>
      </c>
      <c r="C518" s="1">
        <v>45083.650542118055</v>
      </c>
      <c r="D518" t="s">
        <v>273</v>
      </c>
      <c r="E518" t="s">
        <v>14</v>
      </c>
      <c r="F518" t="s">
        <v>18</v>
      </c>
      <c r="G518" t="s">
        <v>19</v>
      </c>
      <c r="H518">
        <v>2</v>
      </c>
      <c r="I518">
        <v>777</v>
      </c>
      <c r="J518">
        <v>1554</v>
      </c>
      <c r="K518" t="str">
        <f>TEXT(Table1[[#This Row],[Date]],"dddd")</f>
        <v>Tuesday</v>
      </c>
      <c r="L518" t="str">
        <f>TEXT(Table1[[#This Row],[Date]],"mmm-yyyy")</f>
        <v>Jun-2023</v>
      </c>
      <c r="M518">
        <f>HOUR(Table1[[#This Row],[Time]])</f>
        <v>15</v>
      </c>
    </row>
    <row r="519" spans="1:13" x14ac:dyDescent="0.3">
      <c r="A519">
        <v>1518</v>
      </c>
      <c r="B519" s="3">
        <v>45083.954128437501</v>
      </c>
      <c r="C519" s="1">
        <v>45083.954128437501</v>
      </c>
      <c r="D519" t="s">
        <v>187</v>
      </c>
      <c r="E519" t="s">
        <v>28</v>
      </c>
      <c r="F519" t="s">
        <v>15</v>
      </c>
      <c r="G519" t="s">
        <v>19</v>
      </c>
      <c r="H519">
        <v>5</v>
      </c>
      <c r="I519">
        <v>930</v>
      </c>
      <c r="J519">
        <v>4650</v>
      </c>
      <c r="K519" t="str">
        <f>TEXT(Table1[[#This Row],[Date]],"dddd")</f>
        <v>Tuesday</v>
      </c>
      <c r="L519" t="str">
        <f>TEXT(Table1[[#This Row],[Date]],"mmm-yyyy")</f>
        <v>Jun-2023</v>
      </c>
      <c r="M519">
        <f>HOUR(Table1[[#This Row],[Time]])</f>
        <v>22</v>
      </c>
    </row>
    <row r="520" spans="1:13" x14ac:dyDescent="0.3">
      <c r="A520">
        <v>1519</v>
      </c>
      <c r="B520" s="3">
        <v>45084.257714756946</v>
      </c>
      <c r="C520" s="1">
        <v>45084.257714756946</v>
      </c>
      <c r="D520" t="s">
        <v>41</v>
      </c>
      <c r="E520" t="s">
        <v>14</v>
      </c>
      <c r="F520" t="s">
        <v>18</v>
      </c>
      <c r="G520" t="s">
        <v>22</v>
      </c>
      <c r="H520">
        <v>5</v>
      </c>
      <c r="I520">
        <v>825</v>
      </c>
      <c r="J520">
        <v>4125</v>
      </c>
      <c r="K520" t="str">
        <f>TEXT(Table1[[#This Row],[Date]],"dddd")</f>
        <v>Wednesday</v>
      </c>
      <c r="L520" t="str">
        <f>TEXT(Table1[[#This Row],[Date]],"mmm-yyyy")</f>
        <v>Jun-2023</v>
      </c>
      <c r="M520">
        <f>HOUR(Table1[[#This Row],[Time]])</f>
        <v>6</v>
      </c>
    </row>
    <row r="521" spans="1:13" x14ac:dyDescent="0.3">
      <c r="A521">
        <v>1520</v>
      </c>
      <c r="B521" s="3">
        <v>45084.561301087961</v>
      </c>
      <c r="C521" s="1">
        <v>45084.561301087961</v>
      </c>
      <c r="D521" t="s">
        <v>229</v>
      </c>
      <c r="E521" t="s">
        <v>10</v>
      </c>
      <c r="F521" t="s">
        <v>11</v>
      </c>
      <c r="G521" t="s">
        <v>33</v>
      </c>
      <c r="H521">
        <v>3</v>
      </c>
      <c r="I521">
        <v>600</v>
      </c>
      <c r="J521">
        <v>1800</v>
      </c>
      <c r="K521" t="str">
        <f>TEXT(Table1[[#This Row],[Date]],"dddd")</f>
        <v>Wednesday</v>
      </c>
      <c r="L521" t="str">
        <f>TEXT(Table1[[#This Row],[Date]],"mmm-yyyy")</f>
        <v>Jun-2023</v>
      </c>
      <c r="M521">
        <f>HOUR(Table1[[#This Row],[Time]])</f>
        <v>13</v>
      </c>
    </row>
    <row r="522" spans="1:13" x14ac:dyDescent="0.3">
      <c r="A522">
        <v>1521</v>
      </c>
      <c r="B522" s="3">
        <v>45084.864887407406</v>
      </c>
      <c r="C522" s="1">
        <v>45084.864887407406</v>
      </c>
      <c r="D522" t="s">
        <v>256</v>
      </c>
      <c r="E522" t="s">
        <v>14</v>
      </c>
      <c r="F522" t="s">
        <v>18</v>
      </c>
      <c r="G522" t="s">
        <v>42</v>
      </c>
      <c r="H522">
        <v>4</v>
      </c>
      <c r="I522">
        <v>216</v>
      </c>
      <c r="J522">
        <v>864</v>
      </c>
      <c r="K522" t="str">
        <f>TEXT(Table1[[#This Row],[Date]],"dddd")</f>
        <v>Wednesday</v>
      </c>
      <c r="L522" t="str">
        <f>TEXT(Table1[[#This Row],[Date]],"mmm-yyyy")</f>
        <v>Jun-2023</v>
      </c>
      <c r="M522">
        <f>HOUR(Table1[[#This Row],[Time]])</f>
        <v>20</v>
      </c>
    </row>
    <row r="523" spans="1:13" x14ac:dyDescent="0.3">
      <c r="A523">
        <v>1522</v>
      </c>
      <c r="B523" s="3">
        <v>45085.168473726852</v>
      </c>
      <c r="C523" s="1">
        <v>45085.168473726852</v>
      </c>
      <c r="D523" t="s">
        <v>274</v>
      </c>
      <c r="E523" t="s">
        <v>14</v>
      </c>
      <c r="F523" t="s">
        <v>11</v>
      </c>
      <c r="G523" t="s">
        <v>42</v>
      </c>
      <c r="H523">
        <v>1</v>
      </c>
      <c r="I523">
        <v>485</v>
      </c>
      <c r="J523">
        <v>485</v>
      </c>
      <c r="K523" t="str">
        <f>TEXT(Table1[[#This Row],[Date]],"dddd")</f>
        <v>Thursday</v>
      </c>
      <c r="L523" t="str">
        <f>TEXT(Table1[[#This Row],[Date]],"mmm-yyyy")</f>
        <v>Jun-2023</v>
      </c>
      <c r="M523">
        <f>HOUR(Table1[[#This Row],[Time]])</f>
        <v>4</v>
      </c>
    </row>
    <row r="524" spans="1:13" x14ac:dyDescent="0.3">
      <c r="A524">
        <v>1523</v>
      </c>
      <c r="B524" s="3">
        <v>45085.472060046297</v>
      </c>
      <c r="C524" s="1">
        <v>45085.472060046297</v>
      </c>
      <c r="D524" t="s">
        <v>51</v>
      </c>
      <c r="E524" t="s">
        <v>14</v>
      </c>
      <c r="F524" t="s">
        <v>39</v>
      </c>
      <c r="G524" t="s">
        <v>12</v>
      </c>
      <c r="H524">
        <v>4</v>
      </c>
      <c r="I524">
        <v>443</v>
      </c>
      <c r="J524">
        <v>1772</v>
      </c>
      <c r="K524" t="str">
        <f>TEXT(Table1[[#This Row],[Date]],"dddd")</f>
        <v>Thursday</v>
      </c>
      <c r="L524" t="str">
        <f>TEXT(Table1[[#This Row],[Date]],"mmm-yyyy")</f>
        <v>Jun-2023</v>
      </c>
      <c r="M524">
        <f>HOUR(Table1[[#This Row],[Time]])</f>
        <v>11</v>
      </c>
    </row>
    <row r="525" spans="1:13" x14ac:dyDescent="0.3">
      <c r="A525">
        <v>1524</v>
      </c>
      <c r="B525" s="3">
        <v>45085.775646377311</v>
      </c>
      <c r="C525" s="1">
        <v>45085.775646377311</v>
      </c>
      <c r="D525" t="s">
        <v>152</v>
      </c>
      <c r="E525" t="s">
        <v>17</v>
      </c>
      <c r="F525" t="s">
        <v>39</v>
      </c>
      <c r="G525" t="s">
        <v>29</v>
      </c>
      <c r="H525">
        <v>3</v>
      </c>
      <c r="I525">
        <v>683</v>
      </c>
      <c r="J525">
        <v>2049</v>
      </c>
      <c r="K525" t="str">
        <f>TEXT(Table1[[#This Row],[Date]],"dddd")</f>
        <v>Thursday</v>
      </c>
      <c r="L525" t="str">
        <f>TEXT(Table1[[#This Row],[Date]],"mmm-yyyy")</f>
        <v>Jun-2023</v>
      </c>
      <c r="M525">
        <f>HOUR(Table1[[#This Row],[Time]])</f>
        <v>18</v>
      </c>
    </row>
    <row r="526" spans="1:13" x14ac:dyDescent="0.3">
      <c r="A526">
        <v>1525</v>
      </c>
      <c r="B526" s="3">
        <v>45086.079232696757</v>
      </c>
      <c r="C526" s="1">
        <v>45086.079232696757</v>
      </c>
      <c r="D526" t="s">
        <v>275</v>
      </c>
      <c r="E526" t="s">
        <v>10</v>
      </c>
      <c r="F526" t="s">
        <v>18</v>
      </c>
      <c r="G526" t="s">
        <v>35</v>
      </c>
      <c r="H526">
        <v>5</v>
      </c>
      <c r="I526">
        <v>494</v>
      </c>
      <c r="J526">
        <v>2470</v>
      </c>
      <c r="K526" t="str">
        <f>TEXT(Table1[[#This Row],[Date]],"dddd")</f>
        <v>Friday</v>
      </c>
      <c r="L526" t="str">
        <f>TEXT(Table1[[#This Row],[Date]],"mmm-yyyy")</f>
        <v>Jun-2023</v>
      </c>
      <c r="M526">
        <f>HOUR(Table1[[#This Row],[Time]])</f>
        <v>1</v>
      </c>
    </row>
    <row r="527" spans="1:13" x14ac:dyDescent="0.3">
      <c r="A527">
        <v>1526</v>
      </c>
      <c r="B527" s="3">
        <v>45086.382819016202</v>
      </c>
      <c r="C527" s="1">
        <v>45086.382819016202</v>
      </c>
      <c r="D527" t="s">
        <v>276</v>
      </c>
      <c r="E527" t="s">
        <v>28</v>
      </c>
      <c r="F527" t="s">
        <v>24</v>
      </c>
      <c r="G527" t="s">
        <v>25</v>
      </c>
      <c r="H527">
        <v>4</v>
      </c>
      <c r="I527">
        <v>163</v>
      </c>
      <c r="J527">
        <v>652</v>
      </c>
      <c r="K527" t="str">
        <f>TEXT(Table1[[#This Row],[Date]],"dddd")</f>
        <v>Friday</v>
      </c>
      <c r="L527" t="str">
        <f>TEXT(Table1[[#This Row],[Date]],"mmm-yyyy")</f>
        <v>Jun-2023</v>
      </c>
      <c r="M527">
        <f>HOUR(Table1[[#This Row],[Time]])</f>
        <v>9</v>
      </c>
    </row>
    <row r="528" spans="1:13" x14ac:dyDescent="0.3">
      <c r="A528">
        <v>1527</v>
      </c>
      <c r="B528" s="3">
        <v>45086.686405335648</v>
      </c>
      <c r="C528" s="1">
        <v>45086.686405335648</v>
      </c>
      <c r="D528" t="s">
        <v>104</v>
      </c>
      <c r="E528" t="s">
        <v>28</v>
      </c>
      <c r="F528" t="s">
        <v>15</v>
      </c>
      <c r="G528" t="s">
        <v>29</v>
      </c>
      <c r="H528">
        <v>5</v>
      </c>
      <c r="I528">
        <v>816</v>
      </c>
      <c r="J528">
        <v>4080</v>
      </c>
      <c r="K528" t="str">
        <f>TEXT(Table1[[#This Row],[Date]],"dddd")</f>
        <v>Friday</v>
      </c>
      <c r="L528" t="str">
        <f>TEXT(Table1[[#This Row],[Date]],"mmm-yyyy")</f>
        <v>Jun-2023</v>
      </c>
      <c r="M528">
        <f>HOUR(Table1[[#This Row],[Time]])</f>
        <v>16</v>
      </c>
    </row>
    <row r="529" spans="1:13" x14ac:dyDescent="0.3">
      <c r="A529">
        <v>1528</v>
      </c>
      <c r="B529" s="3">
        <v>45086.989991655093</v>
      </c>
      <c r="C529" s="1">
        <v>45086.989991655093</v>
      </c>
      <c r="D529" t="s">
        <v>226</v>
      </c>
      <c r="E529" t="s">
        <v>17</v>
      </c>
      <c r="F529" t="s">
        <v>18</v>
      </c>
      <c r="G529" t="s">
        <v>22</v>
      </c>
      <c r="H529">
        <v>1</v>
      </c>
      <c r="I529">
        <v>820</v>
      </c>
      <c r="J529">
        <v>820</v>
      </c>
      <c r="K529" t="str">
        <f>TEXT(Table1[[#This Row],[Date]],"dddd")</f>
        <v>Friday</v>
      </c>
      <c r="L529" t="str">
        <f>TEXT(Table1[[#This Row],[Date]],"mmm-yyyy")</f>
        <v>Jun-2023</v>
      </c>
      <c r="M529">
        <f>HOUR(Table1[[#This Row],[Time]])</f>
        <v>23</v>
      </c>
    </row>
    <row r="530" spans="1:13" x14ac:dyDescent="0.3">
      <c r="A530">
        <v>1529</v>
      </c>
      <c r="B530" s="3">
        <v>45087.293577986115</v>
      </c>
      <c r="C530" s="1">
        <v>45087.293577986115</v>
      </c>
      <c r="D530" t="s">
        <v>248</v>
      </c>
      <c r="E530" t="s">
        <v>14</v>
      </c>
      <c r="F530" t="s">
        <v>18</v>
      </c>
      <c r="G530" t="s">
        <v>35</v>
      </c>
      <c r="H530">
        <v>5</v>
      </c>
      <c r="I530">
        <v>171</v>
      </c>
      <c r="J530">
        <v>855</v>
      </c>
      <c r="K530" t="str">
        <f>TEXT(Table1[[#This Row],[Date]],"dddd")</f>
        <v>Saturday</v>
      </c>
      <c r="L530" t="str">
        <f>TEXT(Table1[[#This Row],[Date]],"mmm-yyyy")</f>
        <v>Jun-2023</v>
      </c>
      <c r="M530">
        <f>HOUR(Table1[[#This Row],[Time]])</f>
        <v>7</v>
      </c>
    </row>
    <row r="531" spans="1:13" x14ac:dyDescent="0.3">
      <c r="A531">
        <v>1530</v>
      </c>
      <c r="B531" s="3">
        <v>45087.597164305553</v>
      </c>
      <c r="C531" s="1">
        <v>45087.597164305553</v>
      </c>
      <c r="D531" t="s">
        <v>148</v>
      </c>
      <c r="E531" t="s">
        <v>10</v>
      </c>
      <c r="F531" t="s">
        <v>15</v>
      </c>
      <c r="G531" t="s">
        <v>33</v>
      </c>
      <c r="H531">
        <v>5</v>
      </c>
      <c r="I531">
        <v>888</v>
      </c>
      <c r="J531">
        <v>4440</v>
      </c>
      <c r="K531" t="str">
        <f>TEXT(Table1[[#This Row],[Date]],"dddd")</f>
        <v>Saturday</v>
      </c>
      <c r="L531" t="str">
        <f>TEXT(Table1[[#This Row],[Date]],"mmm-yyyy")</f>
        <v>Jun-2023</v>
      </c>
      <c r="M531">
        <f>HOUR(Table1[[#This Row],[Time]])</f>
        <v>14</v>
      </c>
    </row>
    <row r="532" spans="1:13" x14ac:dyDescent="0.3">
      <c r="A532">
        <v>1531</v>
      </c>
      <c r="B532" s="3">
        <v>45087.900750624998</v>
      </c>
      <c r="C532" s="1">
        <v>45087.900750624998</v>
      </c>
      <c r="D532" t="s">
        <v>144</v>
      </c>
      <c r="E532" t="s">
        <v>10</v>
      </c>
      <c r="F532" t="s">
        <v>18</v>
      </c>
      <c r="G532" t="s">
        <v>35</v>
      </c>
      <c r="H532">
        <v>2</v>
      </c>
      <c r="I532">
        <v>373</v>
      </c>
      <c r="J532">
        <v>746</v>
      </c>
      <c r="K532" t="str">
        <f>TEXT(Table1[[#This Row],[Date]],"dddd")</f>
        <v>Saturday</v>
      </c>
      <c r="L532" t="str">
        <f>TEXT(Table1[[#This Row],[Date]],"mmm-yyyy")</f>
        <v>Jun-2023</v>
      </c>
      <c r="M532">
        <f>HOUR(Table1[[#This Row],[Time]])</f>
        <v>21</v>
      </c>
    </row>
    <row r="533" spans="1:13" x14ac:dyDescent="0.3">
      <c r="A533">
        <v>1532</v>
      </c>
      <c r="B533" s="3">
        <v>45088.204336944444</v>
      </c>
      <c r="C533" s="1">
        <v>45088.204336944444</v>
      </c>
      <c r="D533" t="s">
        <v>16</v>
      </c>
      <c r="E533" t="s">
        <v>28</v>
      </c>
      <c r="F533" t="s">
        <v>15</v>
      </c>
      <c r="G533" t="s">
        <v>29</v>
      </c>
      <c r="H533">
        <v>2</v>
      </c>
      <c r="I533">
        <v>419</v>
      </c>
      <c r="J533">
        <v>838</v>
      </c>
      <c r="K533" t="str">
        <f>TEXT(Table1[[#This Row],[Date]],"dddd")</f>
        <v>Sunday</v>
      </c>
      <c r="L533" t="str">
        <f>TEXT(Table1[[#This Row],[Date]],"mmm-yyyy")</f>
        <v>Jun-2023</v>
      </c>
      <c r="M533">
        <f>HOUR(Table1[[#This Row],[Time]])</f>
        <v>4</v>
      </c>
    </row>
    <row r="534" spans="1:13" x14ac:dyDescent="0.3">
      <c r="A534">
        <v>1533</v>
      </c>
      <c r="B534" s="3">
        <v>45088.507923263889</v>
      </c>
      <c r="C534" s="1">
        <v>45088.507923263889</v>
      </c>
      <c r="D534" t="s">
        <v>277</v>
      </c>
      <c r="E534" t="s">
        <v>17</v>
      </c>
      <c r="F534" t="s">
        <v>11</v>
      </c>
      <c r="G534" t="s">
        <v>29</v>
      </c>
      <c r="H534">
        <v>2</v>
      </c>
      <c r="I534">
        <v>437</v>
      </c>
      <c r="J534">
        <v>874</v>
      </c>
      <c r="K534" t="str">
        <f>TEXT(Table1[[#This Row],[Date]],"dddd")</f>
        <v>Sunday</v>
      </c>
      <c r="L534" t="str">
        <f>TEXT(Table1[[#This Row],[Date]],"mmm-yyyy")</f>
        <v>Jun-2023</v>
      </c>
      <c r="M534">
        <f>HOUR(Table1[[#This Row],[Time]])</f>
        <v>12</v>
      </c>
    </row>
    <row r="535" spans="1:13" x14ac:dyDescent="0.3">
      <c r="A535">
        <v>1534</v>
      </c>
      <c r="B535" s="3">
        <v>45088.811509594911</v>
      </c>
      <c r="C535" s="1">
        <v>45088.811509594911</v>
      </c>
      <c r="D535" t="s">
        <v>278</v>
      </c>
      <c r="E535" t="s">
        <v>17</v>
      </c>
      <c r="F535" t="s">
        <v>24</v>
      </c>
      <c r="G535" t="s">
        <v>12</v>
      </c>
      <c r="H535">
        <v>5</v>
      </c>
      <c r="I535">
        <v>465</v>
      </c>
      <c r="J535">
        <v>2325</v>
      </c>
      <c r="K535" t="str">
        <f>TEXT(Table1[[#This Row],[Date]],"dddd")</f>
        <v>Sunday</v>
      </c>
      <c r="L535" t="str">
        <f>TEXT(Table1[[#This Row],[Date]],"mmm-yyyy")</f>
        <v>Jun-2023</v>
      </c>
      <c r="M535">
        <f>HOUR(Table1[[#This Row],[Time]])</f>
        <v>19</v>
      </c>
    </row>
    <row r="536" spans="1:13" x14ac:dyDescent="0.3">
      <c r="A536">
        <v>1535</v>
      </c>
      <c r="B536" s="3">
        <v>45089.115095914349</v>
      </c>
      <c r="C536" s="1">
        <v>45089.115095914349</v>
      </c>
      <c r="D536" t="s">
        <v>193</v>
      </c>
      <c r="E536" t="s">
        <v>17</v>
      </c>
      <c r="F536" t="s">
        <v>39</v>
      </c>
      <c r="G536" t="s">
        <v>25</v>
      </c>
      <c r="H536">
        <v>3</v>
      </c>
      <c r="I536">
        <v>594</v>
      </c>
      <c r="J536">
        <v>1782</v>
      </c>
      <c r="K536" t="str">
        <f>TEXT(Table1[[#This Row],[Date]],"dddd")</f>
        <v>Monday</v>
      </c>
      <c r="L536" t="str">
        <f>TEXT(Table1[[#This Row],[Date]],"mmm-yyyy")</f>
        <v>Jun-2023</v>
      </c>
      <c r="M536">
        <f>HOUR(Table1[[#This Row],[Time]])</f>
        <v>2</v>
      </c>
    </row>
    <row r="537" spans="1:13" x14ac:dyDescent="0.3">
      <c r="A537">
        <v>1536</v>
      </c>
      <c r="B537" s="3">
        <v>45089.418682233794</v>
      </c>
      <c r="C537" s="1">
        <v>45089.418682233794</v>
      </c>
      <c r="D537" t="s">
        <v>204</v>
      </c>
      <c r="E537" t="s">
        <v>17</v>
      </c>
      <c r="F537" t="s">
        <v>39</v>
      </c>
      <c r="G537" t="s">
        <v>56</v>
      </c>
      <c r="H537">
        <v>5</v>
      </c>
      <c r="I537">
        <v>706</v>
      </c>
      <c r="J537">
        <v>3530</v>
      </c>
      <c r="K537" t="str">
        <f>TEXT(Table1[[#This Row],[Date]],"dddd")</f>
        <v>Monday</v>
      </c>
      <c r="L537" t="str">
        <f>TEXT(Table1[[#This Row],[Date]],"mmm-yyyy")</f>
        <v>Jun-2023</v>
      </c>
      <c r="M537">
        <f>HOUR(Table1[[#This Row],[Time]])</f>
        <v>10</v>
      </c>
    </row>
    <row r="538" spans="1:13" x14ac:dyDescent="0.3">
      <c r="A538">
        <v>1537</v>
      </c>
      <c r="B538" s="3">
        <v>45089.72226855324</v>
      </c>
      <c r="C538" s="1">
        <v>45089.72226855324</v>
      </c>
      <c r="D538" t="s">
        <v>222</v>
      </c>
      <c r="E538" t="s">
        <v>10</v>
      </c>
      <c r="F538" t="s">
        <v>24</v>
      </c>
      <c r="G538" t="s">
        <v>40</v>
      </c>
      <c r="H538">
        <v>3</v>
      </c>
      <c r="I538">
        <v>265</v>
      </c>
      <c r="J538">
        <v>795</v>
      </c>
      <c r="K538" t="str">
        <f>TEXT(Table1[[#This Row],[Date]],"dddd")</f>
        <v>Monday</v>
      </c>
      <c r="L538" t="str">
        <f>TEXT(Table1[[#This Row],[Date]],"mmm-yyyy")</f>
        <v>Jun-2023</v>
      </c>
      <c r="M538">
        <f>HOUR(Table1[[#This Row],[Time]])</f>
        <v>17</v>
      </c>
    </row>
    <row r="539" spans="1:13" x14ac:dyDescent="0.3">
      <c r="A539">
        <v>1538</v>
      </c>
      <c r="B539" s="3">
        <v>45090.025854884261</v>
      </c>
      <c r="C539" s="1">
        <v>45090.025854884261</v>
      </c>
      <c r="D539" t="s">
        <v>261</v>
      </c>
      <c r="E539" t="s">
        <v>14</v>
      </c>
      <c r="F539" t="s">
        <v>15</v>
      </c>
      <c r="G539" t="s">
        <v>56</v>
      </c>
      <c r="H539">
        <v>3</v>
      </c>
      <c r="I539">
        <v>643</v>
      </c>
      <c r="J539">
        <v>1929</v>
      </c>
      <c r="K539" t="str">
        <f>TEXT(Table1[[#This Row],[Date]],"dddd")</f>
        <v>Tuesday</v>
      </c>
      <c r="L539" t="str">
        <f>TEXT(Table1[[#This Row],[Date]],"mmm-yyyy")</f>
        <v>Jun-2023</v>
      </c>
      <c r="M539">
        <f>HOUR(Table1[[#This Row],[Time]])</f>
        <v>0</v>
      </c>
    </row>
    <row r="540" spans="1:13" x14ac:dyDescent="0.3">
      <c r="A540">
        <v>1539</v>
      </c>
      <c r="B540" s="3">
        <v>45090.329441203707</v>
      </c>
      <c r="C540" s="1">
        <v>45090.329441203707</v>
      </c>
      <c r="D540" t="s">
        <v>279</v>
      </c>
      <c r="E540" t="s">
        <v>28</v>
      </c>
      <c r="F540" t="s">
        <v>24</v>
      </c>
      <c r="G540" t="s">
        <v>56</v>
      </c>
      <c r="H540">
        <v>2</v>
      </c>
      <c r="I540">
        <v>110</v>
      </c>
      <c r="J540">
        <v>220</v>
      </c>
      <c r="K540" t="str">
        <f>TEXT(Table1[[#This Row],[Date]],"dddd")</f>
        <v>Tuesday</v>
      </c>
      <c r="L540" t="str">
        <f>TEXT(Table1[[#This Row],[Date]],"mmm-yyyy")</f>
        <v>Jun-2023</v>
      </c>
      <c r="M540">
        <f>HOUR(Table1[[#This Row],[Time]])</f>
        <v>7</v>
      </c>
    </row>
    <row r="541" spans="1:13" x14ac:dyDescent="0.3">
      <c r="A541">
        <v>1540</v>
      </c>
      <c r="B541" s="3">
        <v>45090.633027523145</v>
      </c>
      <c r="C541" s="1">
        <v>45090.633027523145</v>
      </c>
      <c r="D541" t="s">
        <v>137</v>
      </c>
      <c r="E541" t="s">
        <v>10</v>
      </c>
      <c r="F541" t="s">
        <v>15</v>
      </c>
      <c r="G541" t="s">
        <v>33</v>
      </c>
      <c r="H541">
        <v>4</v>
      </c>
      <c r="I541">
        <v>400</v>
      </c>
      <c r="J541">
        <v>1600</v>
      </c>
      <c r="K541" t="str">
        <f>TEXT(Table1[[#This Row],[Date]],"dddd")</f>
        <v>Tuesday</v>
      </c>
      <c r="L541" t="str">
        <f>TEXT(Table1[[#This Row],[Date]],"mmm-yyyy")</f>
        <v>Jun-2023</v>
      </c>
      <c r="M541">
        <f>HOUR(Table1[[#This Row],[Time]])</f>
        <v>15</v>
      </c>
    </row>
    <row r="542" spans="1:13" x14ac:dyDescent="0.3">
      <c r="A542">
        <v>1541</v>
      </c>
      <c r="B542" s="3">
        <v>45090.93661384259</v>
      </c>
      <c r="C542" s="1">
        <v>45090.93661384259</v>
      </c>
      <c r="D542" t="s">
        <v>202</v>
      </c>
      <c r="E542" t="s">
        <v>17</v>
      </c>
      <c r="F542" t="s">
        <v>24</v>
      </c>
      <c r="G542" t="s">
        <v>40</v>
      </c>
      <c r="H542">
        <v>1</v>
      </c>
      <c r="I542">
        <v>828</v>
      </c>
      <c r="J542">
        <v>828</v>
      </c>
      <c r="K542" t="str">
        <f>TEXT(Table1[[#This Row],[Date]],"dddd")</f>
        <v>Tuesday</v>
      </c>
      <c r="L542" t="str">
        <f>TEXT(Table1[[#This Row],[Date]],"mmm-yyyy")</f>
        <v>Jun-2023</v>
      </c>
      <c r="M542">
        <f>HOUR(Table1[[#This Row],[Time]])</f>
        <v>22</v>
      </c>
    </row>
    <row r="543" spans="1:13" x14ac:dyDescent="0.3">
      <c r="A543">
        <v>1542</v>
      </c>
      <c r="B543" s="3">
        <v>45091.240200162036</v>
      </c>
      <c r="C543" s="1">
        <v>45091.240200162036</v>
      </c>
      <c r="D543" t="s">
        <v>111</v>
      </c>
      <c r="E543" t="s">
        <v>17</v>
      </c>
      <c r="F543" t="s">
        <v>18</v>
      </c>
      <c r="G543" t="s">
        <v>19</v>
      </c>
      <c r="H543">
        <v>2</v>
      </c>
      <c r="I543">
        <v>900</v>
      </c>
      <c r="J543">
        <v>1800</v>
      </c>
      <c r="K543" t="str">
        <f>TEXT(Table1[[#This Row],[Date]],"dddd")</f>
        <v>Wednesday</v>
      </c>
      <c r="L543" t="str">
        <f>TEXT(Table1[[#This Row],[Date]],"mmm-yyyy")</f>
        <v>Jun-2023</v>
      </c>
      <c r="M543">
        <f>HOUR(Table1[[#This Row],[Time]])</f>
        <v>5</v>
      </c>
    </row>
    <row r="544" spans="1:13" x14ac:dyDescent="0.3">
      <c r="A544">
        <v>1543</v>
      </c>
      <c r="B544" s="3">
        <v>45091.543786493057</v>
      </c>
      <c r="C544" s="1">
        <v>45091.543786493057</v>
      </c>
      <c r="D544" t="s">
        <v>280</v>
      </c>
      <c r="E544" t="s">
        <v>28</v>
      </c>
      <c r="F544" t="s">
        <v>18</v>
      </c>
      <c r="G544" t="s">
        <v>42</v>
      </c>
      <c r="H544">
        <v>2</v>
      </c>
      <c r="I544">
        <v>201</v>
      </c>
      <c r="J544">
        <v>402</v>
      </c>
      <c r="K544" t="str">
        <f>TEXT(Table1[[#This Row],[Date]],"dddd")</f>
        <v>Wednesday</v>
      </c>
      <c r="L544" t="str">
        <f>TEXT(Table1[[#This Row],[Date]],"mmm-yyyy")</f>
        <v>Jun-2023</v>
      </c>
      <c r="M544">
        <f>HOUR(Table1[[#This Row],[Time]])</f>
        <v>13</v>
      </c>
    </row>
    <row r="545" spans="1:13" x14ac:dyDescent="0.3">
      <c r="A545">
        <v>1544</v>
      </c>
      <c r="B545" s="3">
        <v>45091.847372812503</v>
      </c>
      <c r="C545" s="1">
        <v>45091.847372812503</v>
      </c>
      <c r="D545" t="s">
        <v>281</v>
      </c>
      <c r="E545" t="s">
        <v>14</v>
      </c>
      <c r="F545" t="s">
        <v>24</v>
      </c>
      <c r="G545" t="s">
        <v>19</v>
      </c>
      <c r="H545">
        <v>4</v>
      </c>
      <c r="I545">
        <v>524</v>
      </c>
      <c r="J545">
        <v>2096</v>
      </c>
      <c r="K545" t="str">
        <f>TEXT(Table1[[#This Row],[Date]],"dddd")</f>
        <v>Wednesday</v>
      </c>
      <c r="L545" t="str">
        <f>TEXT(Table1[[#This Row],[Date]],"mmm-yyyy")</f>
        <v>Jun-2023</v>
      </c>
      <c r="M545">
        <f>HOUR(Table1[[#This Row],[Time]])</f>
        <v>20</v>
      </c>
    </row>
    <row r="546" spans="1:13" x14ac:dyDescent="0.3">
      <c r="A546">
        <v>1545</v>
      </c>
      <c r="B546" s="3">
        <v>45092.150959131941</v>
      </c>
      <c r="C546" s="1">
        <v>45092.150959131941</v>
      </c>
      <c r="D546" t="s">
        <v>266</v>
      </c>
      <c r="E546" t="s">
        <v>14</v>
      </c>
      <c r="F546" t="s">
        <v>11</v>
      </c>
      <c r="G546" t="s">
        <v>12</v>
      </c>
      <c r="H546">
        <v>1</v>
      </c>
      <c r="I546">
        <v>491</v>
      </c>
      <c r="J546">
        <v>491</v>
      </c>
      <c r="K546" t="str">
        <f>TEXT(Table1[[#This Row],[Date]],"dddd")</f>
        <v>Thursday</v>
      </c>
      <c r="L546" t="str">
        <f>TEXT(Table1[[#This Row],[Date]],"mmm-yyyy")</f>
        <v>Jun-2023</v>
      </c>
      <c r="M546">
        <f>HOUR(Table1[[#This Row],[Time]])</f>
        <v>3</v>
      </c>
    </row>
    <row r="547" spans="1:13" x14ac:dyDescent="0.3">
      <c r="A547">
        <v>1546</v>
      </c>
      <c r="B547" s="3">
        <v>45092.454545451386</v>
      </c>
      <c r="C547" s="1">
        <v>45092.454545451386</v>
      </c>
      <c r="D547" t="s">
        <v>117</v>
      </c>
      <c r="E547" t="s">
        <v>14</v>
      </c>
      <c r="F547" t="s">
        <v>24</v>
      </c>
      <c r="G547" t="s">
        <v>33</v>
      </c>
      <c r="H547">
        <v>5</v>
      </c>
      <c r="I547">
        <v>878</v>
      </c>
      <c r="J547">
        <v>4390</v>
      </c>
      <c r="K547" t="str">
        <f>TEXT(Table1[[#This Row],[Date]],"dddd")</f>
        <v>Thursday</v>
      </c>
      <c r="L547" t="str">
        <f>TEXT(Table1[[#This Row],[Date]],"mmm-yyyy")</f>
        <v>Jun-2023</v>
      </c>
      <c r="M547">
        <f>HOUR(Table1[[#This Row],[Time]])</f>
        <v>10</v>
      </c>
    </row>
    <row r="548" spans="1:13" x14ac:dyDescent="0.3">
      <c r="A548">
        <v>1547</v>
      </c>
      <c r="B548" s="3">
        <v>45092.758131770832</v>
      </c>
      <c r="C548" s="1">
        <v>45092.758131770832</v>
      </c>
      <c r="D548" t="s">
        <v>169</v>
      </c>
      <c r="E548" t="s">
        <v>17</v>
      </c>
      <c r="F548" t="s">
        <v>39</v>
      </c>
      <c r="G548" t="s">
        <v>12</v>
      </c>
      <c r="H548">
        <v>5</v>
      </c>
      <c r="I548">
        <v>313</v>
      </c>
      <c r="J548">
        <v>1565</v>
      </c>
      <c r="K548" t="str">
        <f>TEXT(Table1[[#This Row],[Date]],"dddd")</f>
        <v>Thursday</v>
      </c>
      <c r="L548" t="str">
        <f>TEXT(Table1[[#This Row],[Date]],"mmm-yyyy")</f>
        <v>Jun-2023</v>
      </c>
      <c r="M548">
        <f>HOUR(Table1[[#This Row],[Time]])</f>
        <v>18</v>
      </c>
    </row>
    <row r="549" spans="1:13" x14ac:dyDescent="0.3">
      <c r="A549">
        <v>1548</v>
      </c>
      <c r="B549" s="3">
        <v>45093.061718101853</v>
      </c>
      <c r="C549" s="1">
        <v>45093.061718101853</v>
      </c>
      <c r="D549" t="s">
        <v>118</v>
      </c>
      <c r="E549" t="s">
        <v>10</v>
      </c>
      <c r="F549" t="s">
        <v>18</v>
      </c>
      <c r="G549" t="s">
        <v>56</v>
      </c>
      <c r="H549">
        <v>2</v>
      </c>
      <c r="I549">
        <v>790</v>
      </c>
      <c r="J549">
        <v>1580</v>
      </c>
      <c r="K549" t="str">
        <f>TEXT(Table1[[#This Row],[Date]],"dddd")</f>
        <v>Friday</v>
      </c>
      <c r="L549" t="str">
        <f>TEXT(Table1[[#This Row],[Date]],"mmm-yyyy")</f>
        <v>Jun-2023</v>
      </c>
      <c r="M549">
        <f>HOUR(Table1[[#This Row],[Time]])</f>
        <v>1</v>
      </c>
    </row>
    <row r="550" spans="1:13" x14ac:dyDescent="0.3">
      <c r="A550">
        <v>1549</v>
      </c>
      <c r="B550" s="3">
        <v>45093.365304421299</v>
      </c>
      <c r="C550" s="1">
        <v>45093.365304421299</v>
      </c>
      <c r="D550" t="s">
        <v>263</v>
      </c>
      <c r="E550" t="s">
        <v>10</v>
      </c>
      <c r="F550" t="s">
        <v>24</v>
      </c>
      <c r="G550" t="s">
        <v>56</v>
      </c>
      <c r="H550">
        <v>1</v>
      </c>
      <c r="I550">
        <v>187</v>
      </c>
      <c r="J550">
        <v>187</v>
      </c>
      <c r="K550" t="str">
        <f>TEXT(Table1[[#This Row],[Date]],"dddd")</f>
        <v>Friday</v>
      </c>
      <c r="L550" t="str">
        <f>TEXT(Table1[[#This Row],[Date]],"mmm-yyyy")</f>
        <v>Jun-2023</v>
      </c>
      <c r="M550">
        <f>HOUR(Table1[[#This Row],[Time]])</f>
        <v>8</v>
      </c>
    </row>
    <row r="551" spans="1:13" x14ac:dyDescent="0.3">
      <c r="A551">
        <v>1550</v>
      </c>
      <c r="B551" s="3">
        <v>45093.668890740744</v>
      </c>
      <c r="C551" s="1">
        <v>45093.668890740744</v>
      </c>
      <c r="D551" t="s">
        <v>174</v>
      </c>
      <c r="E551" t="s">
        <v>14</v>
      </c>
      <c r="F551" t="s">
        <v>39</v>
      </c>
      <c r="G551" t="s">
        <v>35</v>
      </c>
      <c r="H551">
        <v>2</v>
      </c>
      <c r="I551">
        <v>652</v>
      </c>
      <c r="J551">
        <v>1304</v>
      </c>
      <c r="K551" t="str">
        <f>TEXT(Table1[[#This Row],[Date]],"dddd")</f>
        <v>Friday</v>
      </c>
      <c r="L551" t="str">
        <f>TEXT(Table1[[#This Row],[Date]],"mmm-yyyy")</f>
        <v>Jun-2023</v>
      </c>
      <c r="M551">
        <f>HOUR(Table1[[#This Row],[Time]])</f>
        <v>16</v>
      </c>
    </row>
    <row r="552" spans="1:13" x14ac:dyDescent="0.3">
      <c r="A552">
        <v>1551</v>
      </c>
      <c r="B552" s="3">
        <v>45093.972477060182</v>
      </c>
      <c r="C552" s="1">
        <v>45093.972477060182</v>
      </c>
      <c r="D552" t="s">
        <v>166</v>
      </c>
      <c r="E552" t="s">
        <v>28</v>
      </c>
      <c r="F552" t="s">
        <v>18</v>
      </c>
      <c r="G552" t="s">
        <v>12</v>
      </c>
      <c r="H552">
        <v>3</v>
      </c>
      <c r="I552">
        <v>500</v>
      </c>
      <c r="J552">
        <v>1500</v>
      </c>
      <c r="K552" t="str">
        <f>TEXT(Table1[[#This Row],[Date]],"dddd")</f>
        <v>Friday</v>
      </c>
      <c r="L552" t="str">
        <f>TEXT(Table1[[#This Row],[Date]],"mmm-yyyy")</f>
        <v>Jun-2023</v>
      </c>
      <c r="M552">
        <f>HOUR(Table1[[#This Row],[Time]])</f>
        <v>23</v>
      </c>
    </row>
    <row r="553" spans="1:13" x14ac:dyDescent="0.3">
      <c r="A553">
        <v>1552</v>
      </c>
      <c r="B553" s="3">
        <v>45094.276063391204</v>
      </c>
      <c r="C553" s="1">
        <v>45094.276063391204</v>
      </c>
      <c r="D553" t="s">
        <v>198</v>
      </c>
      <c r="E553" t="s">
        <v>14</v>
      </c>
      <c r="F553" t="s">
        <v>11</v>
      </c>
      <c r="G553" t="s">
        <v>42</v>
      </c>
      <c r="H553">
        <v>2</v>
      </c>
      <c r="I553">
        <v>687</v>
      </c>
      <c r="J553">
        <v>1374</v>
      </c>
      <c r="K553" t="str">
        <f>TEXT(Table1[[#This Row],[Date]],"dddd")</f>
        <v>Saturday</v>
      </c>
      <c r="L553" t="str">
        <f>TEXT(Table1[[#This Row],[Date]],"mmm-yyyy")</f>
        <v>Jun-2023</v>
      </c>
      <c r="M553">
        <f>HOUR(Table1[[#This Row],[Time]])</f>
        <v>6</v>
      </c>
    </row>
    <row r="554" spans="1:13" x14ac:dyDescent="0.3">
      <c r="A554">
        <v>1553</v>
      </c>
      <c r="B554" s="3">
        <v>45094.579649710649</v>
      </c>
      <c r="C554" s="1">
        <v>45094.579649710649</v>
      </c>
      <c r="D554" t="s">
        <v>259</v>
      </c>
      <c r="E554" t="s">
        <v>14</v>
      </c>
      <c r="F554" t="s">
        <v>11</v>
      </c>
      <c r="G554" t="s">
        <v>22</v>
      </c>
      <c r="H554">
        <v>2</v>
      </c>
      <c r="I554">
        <v>988</v>
      </c>
      <c r="J554">
        <v>1976</v>
      </c>
      <c r="K554" t="str">
        <f>TEXT(Table1[[#This Row],[Date]],"dddd")</f>
        <v>Saturday</v>
      </c>
      <c r="L554" t="str">
        <f>TEXT(Table1[[#This Row],[Date]],"mmm-yyyy")</f>
        <v>Jun-2023</v>
      </c>
      <c r="M554">
        <f>HOUR(Table1[[#This Row],[Time]])</f>
        <v>13</v>
      </c>
    </row>
    <row r="555" spans="1:13" x14ac:dyDescent="0.3">
      <c r="A555">
        <v>1554</v>
      </c>
      <c r="B555" s="3">
        <v>45094.883236030095</v>
      </c>
      <c r="C555" s="1">
        <v>45094.883236030095</v>
      </c>
      <c r="D555" t="s">
        <v>263</v>
      </c>
      <c r="E555" t="s">
        <v>28</v>
      </c>
      <c r="F555" t="s">
        <v>39</v>
      </c>
      <c r="G555" t="s">
        <v>25</v>
      </c>
      <c r="H555">
        <v>5</v>
      </c>
      <c r="I555">
        <v>145</v>
      </c>
      <c r="J555">
        <v>725</v>
      </c>
      <c r="K555" t="str">
        <f>TEXT(Table1[[#This Row],[Date]],"dddd")</f>
        <v>Saturday</v>
      </c>
      <c r="L555" t="str">
        <f>TEXT(Table1[[#This Row],[Date]],"mmm-yyyy")</f>
        <v>Jun-2023</v>
      </c>
      <c r="M555">
        <f>HOUR(Table1[[#This Row],[Time]])</f>
        <v>21</v>
      </c>
    </row>
    <row r="556" spans="1:13" x14ac:dyDescent="0.3">
      <c r="A556">
        <v>1555</v>
      </c>
      <c r="B556" s="3">
        <v>45095.18682234954</v>
      </c>
      <c r="C556" s="1">
        <v>45095.18682234954</v>
      </c>
      <c r="D556" t="s">
        <v>181</v>
      </c>
      <c r="E556" t="s">
        <v>14</v>
      </c>
      <c r="F556" t="s">
        <v>24</v>
      </c>
      <c r="G556" t="s">
        <v>56</v>
      </c>
      <c r="H556">
        <v>5</v>
      </c>
      <c r="I556">
        <v>771</v>
      </c>
      <c r="J556">
        <v>3855</v>
      </c>
      <c r="K556" t="str">
        <f>TEXT(Table1[[#This Row],[Date]],"dddd")</f>
        <v>Sunday</v>
      </c>
      <c r="L556" t="str">
        <f>TEXT(Table1[[#This Row],[Date]],"mmm-yyyy")</f>
        <v>Jun-2023</v>
      </c>
      <c r="M556">
        <f>HOUR(Table1[[#This Row],[Time]])</f>
        <v>4</v>
      </c>
    </row>
    <row r="557" spans="1:13" x14ac:dyDescent="0.3">
      <c r="A557">
        <v>1556</v>
      </c>
      <c r="B557" s="3">
        <v>45095.490408668978</v>
      </c>
      <c r="C557" s="1">
        <v>45095.490408668978</v>
      </c>
      <c r="D557" t="s">
        <v>282</v>
      </c>
      <c r="E557" t="s">
        <v>28</v>
      </c>
      <c r="F557" t="s">
        <v>18</v>
      </c>
      <c r="G557" t="s">
        <v>42</v>
      </c>
      <c r="H557">
        <v>5</v>
      </c>
      <c r="I557">
        <v>562</v>
      </c>
      <c r="J557">
        <v>2810</v>
      </c>
      <c r="K557" t="str">
        <f>TEXT(Table1[[#This Row],[Date]],"dddd")</f>
        <v>Sunday</v>
      </c>
      <c r="L557" t="str">
        <f>TEXT(Table1[[#This Row],[Date]],"mmm-yyyy")</f>
        <v>Jun-2023</v>
      </c>
      <c r="M557">
        <f>HOUR(Table1[[#This Row],[Time]])</f>
        <v>11</v>
      </c>
    </row>
    <row r="558" spans="1:13" x14ac:dyDescent="0.3">
      <c r="A558">
        <v>1557</v>
      </c>
      <c r="B558" s="3">
        <v>45095.793995</v>
      </c>
      <c r="C558" s="1">
        <v>45095.793995</v>
      </c>
      <c r="D558" t="s">
        <v>253</v>
      </c>
      <c r="E558" t="s">
        <v>28</v>
      </c>
      <c r="F558" t="s">
        <v>11</v>
      </c>
      <c r="G558" t="s">
        <v>56</v>
      </c>
      <c r="H558">
        <v>3</v>
      </c>
      <c r="I558">
        <v>691</v>
      </c>
      <c r="J558">
        <v>2073</v>
      </c>
      <c r="K558" t="str">
        <f>TEXT(Table1[[#This Row],[Date]],"dddd")</f>
        <v>Sunday</v>
      </c>
      <c r="L558" t="str">
        <f>TEXT(Table1[[#This Row],[Date]],"mmm-yyyy")</f>
        <v>Jun-2023</v>
      </c>
      <c r="M558">
        <f>HOUR(Table1[[#This Row],[Time]])</f>
        <v>19</v>
      </c>
    </row>
    <row r="559" spans="1:13" x14ac:dyDescent="0.3">
      <c r="A559">
        <v>1558</v>
      </c>
      <c r="B559" s="3">
        <v>45096.097581319445</v>
      </c>
      <c r="C559" s="1">
        <v>45096.097581319445</v>
      </c>
      <c r="D559" t="s">
        <v>192</v>
      </c>
      <c r="E559" t="s">
        <v>10</v>
      </c>
      <c r="F559" t="s">
        <v>39</v>
      </c>
      <c r="G559" t="s">
        <v>22</v>
      </c>
      <c r="H559">
        <v>5</v>
      </c>
      <c r="I559">
        <v>409</v>
      </c>
      <c r="J559">
        <v>2045</v>
      </c>
      <c r="K559" t="str">
        <f>TEXT(Table1[[#This Row],[Date]],"dddd")</f>
        <v>Monday</v>
      </c>
      <c r="L559" t="str">
        <f>TEXT(Table1[[#This Row],[Date]],"mmm-yyyy")</f>
        <v>Jun-2023</v>
      </c>
      <c r="M559">
        <f>HOUR(Table1[[#This Row],[Time]])</f>
        <v>2</v>
      </c>
    </row>
    <row r="560" spans="1:13" x14ac:dyDescent="0.3">
      <c r="A560">
        <v>1559</v>
      </c>
      <c r="B560" s="3">
        <v>45096.401167638891</v>
      </c>
      <c r="C560" s="1">
        <v>45096.401167638891</v>
      </c>
      <c r="D560" t="s">
        <v>107</v>
      </c>
      <c r="E560" t="s">
        <v>28</v>
      </c>
      <c r="F560" t="s">
        <v>15</v>
      </c>
      <c r="G560" t="s">
        <v>35</v>
      </c>
      <c r="H560">
        <v>1</v>
      </c>
      <c r="I560">
        <v>185</v>
      </c>
      <c r="J560">
        <v>185</v>
      </c>
      <c r="K560" t="str">
        <f>TEXT(Table1[[#This Row],[Date]],"dddd")</f>
        <v>Monday</v>
      </c>
      <c r="L560" t="str">
        <f>TEXT(Table1[[#This Row],[Date]],"mmm-yyyy")</f>
        <v>Jun-2023</v>
      </c>
      <c r="M560">
        <f>HOUR(Table1[[#This Row],[Time]])</f>
        <v>9</v>
      </c>
    </row>
    <row r="561" spans="1:13" x14ac:dyDescent="0.3">
      <c r="A561">
        <v>1560</v>
      </c>
      <c r="B561" s="3">
        <v>45096.704753958336</v>
      </c>
      <c r="C561" s="1">
        <v>45096.704753958336</v>
      </c>
      <c r="D561" t="s">
        <v>163</v>
      </c>
      <c r="E561" t="s">
        <v>14</v>
      </c>
      <c r="F561" t="s">
        <v>24</v>
      </c>
      <c r="G561" t="s">
        <v>42</v>
      </c>
      <c r="H561">
        <v>4</v>
      </c>
      <c r="I561">
        <v>191</v>
      </c>
      <c r="J561">
        <v>764</v>
      </c>
      <c r="K561" t="str">
        <f>TEXT(Table1[[#This Row],[Date]],"dddd")</f>
        <v>Monday</v>
      </c>
      <c r="L561" t="str">
        <f>TEXT(Table1[[#This Row],[Date]],"mmm-yyyy")</f>
        <v>Jun-2023</v>
      </c>
      <c r="M561">
        <f>HOUR(Table1[[#This Row],[Time]])</f>
        <v>16</v>
      </c>
    </row>
    <row r="562" spans="1:13" x14ac:dyDescent="0.3">
      <c r="A562">
        <v>1561</v>
      </c>
      <c r="B562" s="3">
        <v>45097.008340289351</v>
      </c>
      <c r="C562" s="1">
        <v>45097.008340289351</v>
      </c>
      <c r="D562" t="s">
        <v>264</v>
      </c>
      <c r="E562" t="s">
        <v>28</v>
      </c>
      <c r="F562" t="s">
        <v>15</v>
      </c>
      <c r="G562" t="s">
        <v>35</v>
      </c>
      <c r="H562">
        <v>1</v>
      </c>
      <c r="I562">
        <v>759</v>
      </c>
      <c r="J562">
        <v>759</v>
      </c>
      <c r="K562" t="str">
        <f>TEXT(Table1[[#This Row],[Date]],"dddd")</f>
        <v>Tuesday</v>
      </c>
      <c r="L562" t="str">
        <f>TEXT(Table1[[#This Row],[Date]],"mmm-yyyy")</f>
        <v>Jun-2023</v>
      </c>
      <c r="M562">
        <f>HOUR(Table1[[#This Row],[Time]])</f>
        <v>0</v>
      </c>
    </row>
    <row r="563" spans="1:13" x14ac:dyDescent="0.3">
      <c r="A563">
        <v>1562</v>
      </c>
      <c r="B563" s="3">
        <v>45097.311926608796</v>
      </c>
      <c r="C563" s="1">
        <v>45097.311926608796</v>
      </c>
      <c r="D563" t="s">
        <v>57</v>
      </c>
      <c r="E563" t="s">
        <v>14</v>
      </c>
      <c r="F563" t="s">
        <v>24</v>
      </c>
      <c r="G563" t="s">
        <v>12</v>
      </c>
      <c r="H563">
        <v>1</v>
      </c>
      <c r="I563">
        <v>772</v>
      </c>
      <c r="J563">
        <v>772</v>
      </c>
      <c r="K563" t="str">
        <f>TEXT(Table1[[#This Row],[Date]],"dddd")</f>
        <v>Tuesday</v>
      </c>
      <c r="L563" t="str">
        <f>TEXT(Table1[[#This Row],[Date]],"mmm-yyyy")</f>
        <v>Jun-2023</v>
      </c>
      <c r="M563">
        <f>HOUR(Table1[[#This Row],[Time]])</f>
        <v>7</v>
      </c>
    </row>
    <row r="564" spans="1:13" x14ac:dyDescent="0.3">
      <c r="A564">
        <v>1563</v>
      </c>
      <c r="B564" s="3">
        <v>45097.615512928242</v>
      </c>
      <c r="C564" s="1">
        <v>45097.615512928242</v>
      </c>
      <c r="D564" t="s">
        <v>200</v>
      </c>
      <c r="E564" t="s">
        <v>28</v>
      </c>
      <c r="F564" t="s">
        <v>18</v>
      </c>
      <c r="G564" t="s">
        <v>25</v>
      </c>
      <c r="H564">
        <v>5</v>
      </c>
      <c r="I564">
        <v>813</v>
      </c>
      <c r="J564">
        <v>4065</v>
      </c>
      <c r="K564" t="str">
        <f>TEXT(Table1[[#This Row],[Date]],"dddd")</f>
        <v>Tuesday</v>
      </c>
      <c r="L564" t="str">
        <f>TEXT(Table1[[#This Row],[Date]],"mmm-yyyy")</f>
        <v>Jun-2023</v>
      </c>
      <c r="M564">
        <f>HOUR(Table1[[#This Row],[Time]])</f>
        <v>14</v>
      </c>
    </row>
    <row r="565" spans="1:13" x14ac:dyDescent="0.3">
      <c r="A565">
        <v>1564</v>
      </c>
      <c r="B565" s="3">
        <v>45097.919099247687</v>
      </c>
      <c r="C565" s="1">
        <v>45097.919099247687</v>
      </c>
      <c r="D565" t="s">
        <v>50</v>
      </c>
      <c r="E565" t="s">
        <v>10</v>
      </c>
      <c r="F565" t="s">
        <v>39</v>
      </c>
      <c r="G565" t="s">
        <v>35</v>
      </c>
      <c r="H565">
        <v>4</v>
      </c>
      <c r="I565">
        <v>341</v>
      </c>
      <c r="J565">
        <v>1364</v>
      </c>
      <c r="K565" t="str">
        <f>TEXT(Table1[[#This Row],[Date]],"dddd")</f>
        <v>Tuesday</v>
      </c>
      <c r="L565" t="str">
        <f>TEXT(Table1[[#This Row],[Date]],"mmm-yyyy")</f>
        <v>Jun-2023</v>
      </c>
      <c r="M565">
        <f>HOUR(Table1[[#This Row],[Time]])</f>
        <v>22</v>
      </c>
    </row>
    <row r="566" spans="1:13" x14ac:dyDescent="0.3">
      <c r="A566">
        <v>1565</v>
      </c>
      <c r="B566" s="3">
        <v>45098.222685567132</v>
      </c>
      <c r="C566" s="1">
        <v>45098.222685567132</v>
      </c>
      <c r="D566" t="s">
        <v>283</v>
      </c>
      <c r="E566" t="s">
        <v>14</v>
      </c>
      <c r="F566" t="s">
        <v>18</v>
      </c>
      <c r="G566" t="s">
        <v>33</v>
      </c>
      <c r="H566">
        <v>4</v>
      </c>
      <c r="I566">
        <v>964</v>
      </c>
      <c r="J566">
        <v>3856</v>
      </c>
      <c r="K566" t="str">
        <f>TEXT(Table1[[#This Row],[Date]],"dddd")</f>
        <v>Wednesday</v>
      </c>
      <c r="L566" t="str">
        <f>TEXT(Table1[[#This Row],[Date]],"mmm-yyyy")</f>
        <v>Jun-2023</v>
      </c>
      <c r="M566">
        <f>HOUR(Table1[[#This Row],[Time]])</f>
        <v>5</v>
      </c>
    </row>
    <row r="567" spans="1:13" x14ac:dyDescent="0.3">
      <c r="A567">
        <v>1566</v>
      </c>
      <c r="B567" s="3">
        <v>45098.526271898147</v>
      </c>
      <c r="C567" s="1">
        <v>45098.526271898147</v>
      </c>
      <c r="D567" t="s">
        <v>134</v>
      </c>
      <c r="E567" t="s">
        <v>14</v>
      </c>
      <c r="F567" t="s">
        <v>15</v>
      </c>
      <c r="G567" t="s">
        <v>22</v>
      </c>
      <c r="H567">
        <v>4</v>
      </c>
      <c r="I567">
        <v>101</v>
      </c>
      <c r="J567">
        <v>404</v>
      </c>
      <c r="K567" t="str">
        <f>TEXT(Table1[[#This Row],[Date]],"dddd")</f>
        <v>Wednesday</v>
      </c>
      <c r="L567" t="str">
        <f>TEXT(Table1[[#This Row],[Date]],"mmm-yyyy")</f>
        <v>Jun-2023</v>
      </c>
      <c r="M567">
        <f>HOUR(Table1[[#This Row],[Time]])</f>
        <v>12</v>
      </c>
    </row>
    <row r="568" spans="1:13" x14ac:dyDescent="0.3">
      <c r="A568">
        <v>1567</v>
      </c>
      <c r="B568" s="3">
        <v>45098.829858217592</v>
      </c>
      <c r="C568" s="1">
        <v>45098.829858217592</v>
      </c>
      <c r="D568" t="s">
        <v>192</v>
      </c>
      <c r="E568" t="s">
        <v>14</v>
      </c>
      <c r="F568" t="s">
        <v>39</v>
      </c>
      <c r="G568" t="s">
        <v>40</v>
      </c>
      <c r="H568">
        <v>3</v>
      </c>
      <c r="I568">
        <v>324</v>
      </c>
      <c r="J568">
        <v>972</v>
      </c>
      <c r="K568" t="str">
        <f>TEXT(Table1[[#This Row],[Date]],"dddd")</f>
        <v>Wednesday</v>
      </c>
      <c r="L568" t="str">
        <f>TEXT(Table1[[#This Row],[Date]],"mmm-yyyy")</f>
        <v>Jun-2023</v>
      </c>
      <c r="M568">
        <f>HOUR(Table1[[#This Row],[Time]])</f>
        <v>19</v>
      </c>
    </row>
    <row r="569" spans="1:13" x14ac:dyDescent="0.3">
      <c r="A569">
        <v>1568</v>
      </c>
      <c r="B569" s="3">
        <v>45099.133444537038</v>
      </c>
      <c r="C569" s="1">
        <v>45099.133444537038</v>
      </c>
      <c r="D569" t="s">
        <v>46</v>
      </c>
      <c r="E569" t="s">
        <v>28</v>
      </c>
      <c r="F569" t="s">
        <v>18</v>
      </c>
      <c r="G569" t="s">
        <v>22</v>
      </c>
      <c r="H569">
        <v>5</v>
      </c>
      <c r="I569">
        <v>900</v>
      </c>
      <c r="J569">
        <v>4500</v>
      </c>
      <c r="K569" t="str">
        <f>TEXT(Table1[[#This Row],[Date]],"dddd")</f>
        <v>Thursday</v>
      </c>
      <c r="L569" t="str">
        <f>TEXT(Table1[[#This Row],[Date]],"mmm-yyyy")</f>
        <v>Jun-2023</v>
      </c>
      <c r="M569">
        <f>HOUR(Table1[[#This Row],[Time]])</f>
        <v>3</v>
      </c>
    </row>
    <row r="570" spans="1:13" x14ac:dyDescent="0.3">
      <c r="A570">
        <v>1569</v>
      </c>
      <c r="B570" s="3">
        <v>45099.437030856483</v>
      </c>
      <c r="C570" s="1">
        <v>45099.437030856483</v>
      </c>
      <c r="D570" t="s">
        <v>105</v>
      </c>
      <c r="E570" t="s">
        <v>10</v>
      </c>
      <c r="F570" t="s">
        <v>18</v>
      </c>
      <c r="G570" t="s">
        <v>33</v>
      </c>
      <c r="H570">
        <v>4</v>
      </c>
      <c r="I570">
        <v>844</v>
      </c>
      <c r="J570">
        <v>3376</v>
      </c>
      <c r="K570" t="str">
        <f>TEXT(Table1[[#This Row],[Date]],"dddd")</f>
        <v>Thursday</v>
      </c>
      <c r="L570" t="str">
        <f>TEXT(Table1[[#This Row],[Date]],"mmm-yyyy")</f>
        <v>Jun-2023</v>
      </c>
      <c r="M570">
        <f>HOUR(Table1[[#This Row],[Time]])</f>
        <v>10</v>
      </c>
    </row>
    <row r="571" spans="1:13" x14ac:dyDescent="0.3">
      <c r="A571">
        <v>1570</v>
      </c>
      <c r="B571" s="3">
        <v>45099.740617175928</v>
      </c>
      <c r="C571" s="1">
        <v>45099.740617175928</v>
      </c>
      <c r="D571" t="s">
        <v>27</v>
      </c>
      <c r="E571" t="s">
        <v>10</v>
      </c>
      <c r="F571" t="s">
        <v>18</v>
      </c>
      <c r="G571" t="s">
        <v>29</v>
      </c>
      <c r="H571">
        <v>3</v>
      </c>
      <c r="I571">
        <v>688</v>
      </c>
      <c r="J571">
        <v>2064</v>
      </c>
      <c r="K571" t="str">
        <f>TEXT(Table1[[#This Row],[Date]],"dddd")</f>
        <v>Thursday</v>
      </c>
      <c r="L571" t="str">
        <f>TEXT(Table1[[#This Row],[Date]],"mmm-yyyy")</f>
        <v>Jun-2023</v>
      </c>
      <c r="M571">
        <f>HOUR(Table1[[#This Row],[Time]])</f>
        <v>17</v>
      </c>
    </row>
    <row r="572" spans="1:13" x14ac:dyDescent="0.3">
      <c r="A572">
        <v>1571</v>
      </c>
      <c r="B572" s="3">
        <v>45100.044203506943</v>
      </c>
      <c r="C572" s="1">
        <v>45100.044203506943</v>
      </c>
      <c r="D572" t="s">
        <v>47</v>
      </c>
      <c r="E572" t="s">
        <v>10</v>
      </c>
      <c r="F572" t="s">
        <v>15</v>
      </c>
      <c r="G572" t="s">
        <v>56</v>
      </c>
      <c r="H572">
        <v>2</v>
      </c>
      <c r="I572">
        <v>215</v>
      </c>
      <c r="J572">
        <v>430</v>
      </c>
      <c r="K572" t="str">
        <f>TEXT(Table1[[#This Row],[Date]],"dddd")</f>
        <v>Friday</v>
      </c>
      <c r="L572" t="str">
        <f>TEXT(Table1[[#This Row],[Date]],"mmm-yyyy")</f>
        <v>Jun-2023</v>
      </c>
      <c r="M572">
        <f>HOUR(Table1[[#This Row],[Time]])</f>
        <v>1</v>
      </c>
    </row>
    <row r="573" spans="1:13" x14ac:dyDescent="0.3">
      <c r="A573">
        <v>1572</v>
      </c>
      <c r="B573" s="3">
        <v>45100.347789826388</v>
      </c>
      <c r="C573" s="1">
        <v>45100.347789826388</v>
      </c>
      <c r="D573" t="s">
        <v>195</v>
      </c>
      <c r="E573" t="s">
        <v>10</v>
      </c>
      <c r="F573" t="s">
        <v>18</v>
      </c>
      <c r="G573" t="s">
        <v>33</v>
      </c>
      <c r="H573">
        <v>2</v>
      </c>
      <c r="I573">
        <v>765</v>
      </c>
      <c r="J573">
        <v>1530</v>
      </c>
      <c r="K573" t="str">
        <f>TEXT(Table1[[#This Row],[Date]],"dddd")</f>
        <v>Friday</v>
      </c>
      <c r="L573" t="str">
        <f>TEXT(Table1[[#This Row],[Date]],"mmm-yyyy")</f>
        <v>Jun-2023</v>
      </c>
      <c r="M573">
        <f>HOUR(Table1[[#This Row],[Time]])</f>
        <v>8</v>
      </c>
    </row>
    <row r="574" spans="1:13" x14ac:dyDescent="0.3">
      <c r="A574">
        <v>1573</v>
      </c>
      <c r="B574" s="3">
        <v>45100.651376145834</v>
      </c>
      <c r="C574" s="1">
        <v>45100.651376145834</v>
      </c>
      <c r="D574" t="s">
        <v>47</v>
      </c>
      <c r="E574" t="s">
        <v>28</v>
      </c>
      <c r="F574" t="s">
        <v>11</v>
      </c>
      <c r="G574" t="s">
        <v>40</v>
      </c>
      <c r="H574">
        <v>3</v>
      </c>
      <c r="I574">
        <v>202</v>
      </c>
      <c r="J574">
        <v>606</v>
      </c>
      <c r="K574" t="str">
        <f>TEXT(Table1[[#This Row],[Date]],"dddd")</f>
        <v>Friday</v>
      </c>
      <c r="L574" t="str">
        <f>TEXT(Table1[[#This Row],[Date]],"mmm-yyyy")</f>
        <v>Jun-2023</v>
      </c>
      <c r="M574">
        <f>HOUR(Table1[[#This Row],[Time]])</f>
        <v>15</v>
      </c>
    </row>
    <row r="575" spans="1:13" x14ac:dyDescent="0.3">
      <c r="A575">
        <v>1574</v>
      </c>
      <c r="B575" s="3">
        <v>45100.954962465279</v>
      </c>
      <c r="C575" s="1">
        <v>45100.954962465279</v>
      </c>
      <c r="D575" t="s">
        <v>222</v>
      </c>
      <c r="E575" t="s">
        <v>14</v>
      </c>
      <c r="F575" t="s">
        <v>24</v>
      </c>
      <c r="G575" t="s">
        <v>33</v>
      </c>
      <c r="H575">
        <v>3</v>
      </c>
      <c r="I575">
        <v>293</v>
      </c>
      <c r="J575">
        <v>879</v>
      </c>
      <c r="K575" t="str">
        <f>TEXT(Table1[[#This Row],[Date]],"dddd")</f>
        <v>Friday</v>
      </c>
      <c r="L575" t="str">
        <f>TEXT(Table1[[#This Row],[Date]],"mmm-yyyy")</f>
        <v>Jun-2023</v>
      </c>
      <c r="M575">
        <f>HOUR(Table1[[#This Row],[Time]])</f>
        <v>22</v>
      </c>
    </row>
    <row r="576" spans="1:13" x14ac:dyDescent="0.3">
      <c r="A576">
        <v>1575</v>
      </c>
      <c r="B576" s="3">
        <v>45101.258548796293</v>
      </c>
      <c r="C576" s="1">
        <v>45101.258548796293</v>
      </c>
      <c r="D576" t="s">
        <v>245</v>
      </c>
      <c r="E576" t="s">
        <v>17</v>
      </c>
      <c r="F576" t="s">
        <v>11</v>
      </c>
      <c r="G576" t="s">
        <v>56</v>
      </c>
      <c r="H576">
        <v>5</v>
      </c>
      <c r="I576">
        <v>265</v>
      </c>
      <c r="J576">
        <v>1325</v>
      </c>
      <c r="K576" t="str">
        <f>TEXT(Table1[[#This Row],[Date]],"dddd")</f>
        <v>Saturday</v>
      </c>
      <c r="L576" t="str">
        <f>TEXT(Table1[[#This Row],[Date]],"mmm-yyyy")</f>
        <v>Jun-2023</v>
      </c>
      <c r="M576">
        <f>HOUR(Table1[[#This Row],[Time]])</f>
        <v>6</v>
      </c>
    </row>
    <row r="577" spans="1:13" x14ac:dyDescent="0.3">
      <c r="A577">
        <v>1576</v>
      </c>
      <c r="B577" s="3">
        <v>45101.562135115739</v>
      </c>
      <c r="C577" s="1">
        <v>45101.562135115739</v>
      </c>
      <c r="D577" t="s">
        <v>148</v>
      </c>
      <c r="E577" t="s">
        <v>10</v>
      </c>
      <c r="F577" t="s">
        <v>15</v>
      </c>
      <c r="G577" t="s">
        <v>19</v>
      </c>
      <c r="H577">
        <v>5</v>
      </c>
      <c r="I577">
        <v>970</v>
      </c>
      <c r="J577">
        <v>4850</v>
      </c>
      <c r="K577" t="str">
        <f>TEXT(Table1[[#This Row],[Date]],"dddd")</f>
        <v>Saturday</v>
      </c>
      <c r="L577" t="str">
        <f>TEXT(Table1[[#This Row],[Date]],"mmm-yyyy")</f>
        <v>Jun-2023</v>
      </c>
      <c r="M577">
        <f>HOUR(Table1[[#This Row],[Time]])</f>
        <v>13</v>
      </c>
    </row>
    <row r="578" spans="1:13" x14ac:dyDescent="0.3">
      <c r="A578">
        <v>1577</v>
      </c>
      <c r="B578" s="3">
        <v>45101.865721435184</v>
      </c>
      <c r="C578" s="1">
        <v>45101.865721435184</v>
      </c>
      <c r="D578" t="s">
        <v>243</v>
      </c>
      <c r="E578" t="s">
        <v>17</v>
      </c>
      <c r="F578" t="s">
        <v>15</v>
      </c>
      <c r="G578" t="s">
        <v>33</v>
      </c>
      <c r="H578">
        <v>2</v>
      </c>
      <c r="I578">
        <v>189</v>
      </c>
      <c r="J578">
        <v>378</v>
      </c>
      <c r="K578" t="str">
        <f>TEXT(Table1[[#This Row],[Date]],"dddd")</f>
        <v>Saturday</v>
      </c>
      <c r="L578" t="str">
        <f>TEXT(Table1[[#This Row],[Date]],"mmm-yyyy")</f>
        <v>Jun-2023</v>
      </c>
      <c r="M578">
        <f>HOUR(Table1[[#This Row],[Time]])</f>
        <v>20</v>
      </c>
    </row>
    <row r="579" spans="1:13" x14ac:dyDescent="0.3">
      <c r="A579">
        <v>1578</v>
      </c>
      <c r="B579" s="3">
        <v>45102.16930775463</v>
      </c>
      <c r="C579" s="1">
        <v>45102.16930775463</v>
      </c>
      <c r="D579" t="s">
        <v>192</v>
      </c>
      <c r="E579" t="s">
        <v>28</v>
      </c>
      <c r="F579" t="s">
        <v>18</v>
      </c>
      <c r="G579" t="s">
        <v>33</v>
      </c>
      <c r="H579">
        <v>4</v>
      </c>
      <c r="I579">
        <v>785</v>
      </c>
      <c r="J579">
        <v>3140</v>
      </c>
      <c r="K579" t="str">
        <f>TEXT(Table1[[#This Row],[Date]],"dddd")</f>
        <v>Sunday</v>
      </c>
      <c r="L579" t="str">
        <f>TEXT(Table1[[#This Row],[Date]],"mmm-yyyy")</f>
        <v>Jun-2023</v>
      </c>
      <c r="M579">
        <f>HOUR(Table1[[#This Row],[Time]])</f>
        <v>4</v>
      </c>
    </row>
    <row r="580" spans="1:13" x14ac:dyDescent="0.3">
      <c r="A580">
        <v>1579</v>
      </c>
      <c r="B580" s="3">
        <v>45102.472894074075</v>
      </c>
      <c r="C580" s="1">
        <v>45102.472894074075</v>
      </c>
      <c r="D580" t="s">
        <v>55</v>
      </c>
      <c r="E580" t="s">
        <v>28</v>
      </c>
      <c r="F580" t="s">
        <v>39</v>
      </c>
      <c r="G580" t="s">
        <v>19</v>
      </c>
      <c r="H580">
        <v>2</v>
      </c>
      <c r="I580">
        <v>221</v>
      </c>
      <c r="J580">
        <v>442</v>
      </c>
      <c r="K580" t="str">
        <f>TEXT(Table1[[#This Row],[Date]],"dddd")</f>
        <v>Sunday</v>
      </c>
      <c r="L580" t="str">
        <f>TEXT(Table1[[#This Row],[Date]],"mmm-yyyy")</f>
        <v>Jun-2023</v>
      </c>
      <c r="M580">
        <f>HOUR(Table1[[#This Row],[Time]])</f>
        <v>11</v>
      </c>
    </row>
    <row r="581" spans="1:13" x14ac:dyDescent="0.3">
      <c r="A581">
        <v>1580</v>
      </c>
      <c r="B581" s="3">
        <v>45102.776480405089</v>
      </c>
      <c r="C581" s="1">
        <v>45102.776480405089</v>
      </c>
      <c r="D581" t="s">
        <v>255</v>
      </c>
      <c r="E581" t="s">
        <v>17</v>
      </c>
      <c r="F581" t="s">
        <v>11</v>
      </c>
      <c r="G581" t="s">
        <v>40</v>
      </c>
      <c r="H581">
        <v>4</v>
      </c>
      <c r="I581">
        <v>242</v>
      </c>
      <c r="J581">
        <v>968</v>
      </c>
      <c r="K581" t="str">
        <f>TEXT(Table1[[#This Row],[Date]],"dddd")</f>
        <v>Sunday</v>
      </c>
      <c r="L581" t="str">
        <f>TEXT(Table1[[#This Row],[Date]],"mmm-yyyy")</f>
        <v>Jun-2023</v>
      </c>
      <c r="M581">
        <f>HOUR(Table1[[#This Row],[Time]])</f>
        <v>18</v>
      </c>
    </row>
    <row r="582" spans="1:13" x14ac:dyDescent="0.3">
      <c r="A582">
        <v>1581</v>
      </c>
      <c r="B582" s="3">
        <v>45103.080066724535</v>
      </c>
      <c r="C582" s="1">
        <v>45103.080066724535</v>
      </c>
      <c r="D582" t="s">
        <v>154</v>
      </c>
      <c r="E582" t="s">
        <v>14</v>
      </c>
      <c r="F582" t="s">
        <v>15</v>
      </c>
      <c r="G582" t="s">
        <v>22</v>
      </c>
      <c r="H582">
        <v>4</v>
      </c>
      <c r="I582">
        <v>205</v>
      </c>
      <c r="J582">
        <v>820</v>
      </c>
      <c r="K582" t="str">
        <f>TEXT(Table1[[#This Row],[Date]],"dddd")</f>
        <v>Monday</v>
      </c>
      <c r="L582" t="str">
        <f>TEXT(Table1[[#This Row],[Date]],"mmm-yyyy")</f>
        <v>Jun-2023</v>
      </c>
      <c r="M582">
        <f>HOUR(Table1[[#This Row],[Time]])</f>
        <v>1</v>
      </c>
    </row>
    <row r="583" spans="1:13" x14ac:dyDescent="0.3">
      <c r="A583">
        <v>1582</v>
      </c>
      <c r="B583" s="3">
        <v>45103.38365304398</v>
      </c>
      <c r="C583" s="1">
        <v>45103.38365304398</v>
      </c>
      <c r="D583" t="s">
        <v>121</v>
      </c>
      <c r="E583" t="s">
        <v>17</v>
      </c>
      <c r="F583" t="s">
        <v>24</v>
      </c>
      <c r="G583" t="s">
        <v>29</v>
      </c>
      <c r="H583">
        <v>5</v>
      </c>
      <c r="I583">
        <v>986</v>
      </c>
      <c r="J583">
        <v>4930</v>
      </c>
      <c r="K583" t="str">
        <f>TEXT(Table1[[#This Row],[Date]],"dddd")</f>
        <v>Monday</v>
      </c>
      <c r="L583" t="str">
        <f>TEXT(Table1[[#This Row],[Date]],"mmm-yyyy")</f>
        <v>Jun-2023</v>
      </c>
      <c r="M583">
        <f>HOUR(Table1[[#This Row],[Time]])</f>
        <v>9</v>
      </c>
    </row>
    <row r="584" spans="1:13" x14ac:dyDescent="0.3">
      <c r="A584">
        <v>1583</v>
      </c>
      <c r="B584" s="3">
        <v>45103.687239363426</v>
      </c>
      <c r="C584" s="1">
        <v>45103.687239363426</v>
      </c>
      <c r="D584" t="s">
        <v>151</v>
      </c>
      <c r="E584" t="s">
        <v>28</v>
      </c>
      <c r="F584" t="s">
        <v>15</v>
      </c>
      <c r="G584" t="s">
        <v>29</v>
      </c>
      <c r="H584">
        <v>1</v>
      </c>
      <c r="I584">
        <v>527</v>
      </c>
      <c r="J584">
        <v>527</v>
      </c>
      <c r="K584" t="str">
        <f>TEXT(Table1[[#This Row],[Date]],"dddd")</f>
        <v>Monday</v>
      </c>
      <c r="L584" t="str">
        <f>TEXT(Table1[[#This Row],[Date]],"mmm-yyyy")</f>
        <v>Jun-2023</v>
      </c>
      <c r="M584">
        <f>HOUR(Table1[[#This Row],[Time]])</f>
        <v>16</v>
      </c>
    </row>
    <row r="585" spans="1:13" x14ac:dyDescent="0.3">
      <c r="A585">
        <v>1584</v>
      </c>
      <c r="B585" s="3">
        <v>45103.990825682871</v>
      </c>
      <c r="C585" s="1">
        <v>45103.990825682871</v>
      </c>
      <c r="D585" t="s">
        <v>87</v>
      </c>
      <c r="E585" t="s">
        <v>17</v>
      </c>
      <c r="F585" t="s">
        <v>11</v>
      </c>
      <c r="G585" t="s">
        <v>22</v>
      </c>
      <c r="H585">
        <v>1</v>
      </c>
      <c r="I585">
        <v>404</v>
      </c>
      <c r="J585">
        <v>404</v>
      </c>
      <c r="K585" t="str">
        <f>TEXT(Table1[[#This Row],[Date]],"dddd")</f>
        <v>Monday</v>
      </c>
      <c r="L585" t="str">
        <f>TEXT(Table1[[#This Row],[Date]],"mmm-yyyy")</f>
        <v>Jun-2023</v>
      </c>
      <c r="M585">
        <f>HOUR(Table1[[#This Row],[Time]])</f>
        <v>23</v>
      </c>
    </row>
    <row r="586" spans="1:13" x14ac:dyDescent="0.3">
      <c r="A586">
        <v>1585</v>
      </c>
      <c r="B586" s="3">
        <v>45104.294412013885</v>
      </c>
      <c r="C586" s="1">
        <v>45104.294412013885</v>
      </c>
      <c r="D586" t="s">
        <v>43</v>
      </c>
      <c r="E586" t="s">
        <v>10</v>
      </c>
      <c r="F586" t="s">
        <v>24</v>
      </c>
      <c r="G586" t="s">
        <v>22</v>
      </c>
      <c r="H586">
        <v>3</v>
      </c>
      <c r="I586">
        <v>971</v>
      </c>
      <c r="J586">
        <v>2913</v>
      </c>
      <c r="K586" t="str">
        <f>TEXT(Table1[[#This Row],[Date]],"dddd")</f>
        <v>Tuesday</v>
      </c>
      <c r="L586" t="str">
        <f>TEXT(Table1[[#This Row],[Date]],"mmm-yyyy")</f>
        <v>Jun-2023</v>
      </c>
      <c r="M586">
        <f>HOUR(Table1[[#This Row],[Time]])</f>
        <v>7</v>
      </c>
    </row>
    <row r="587" spans="1:13" x14ac:dyDescent="0.3">
      <c r="A587">
        <v>1586</v>
      </c>
      <c r="B587" s="3">
        <v>45104.597998333331</v>
      </c>
      <c r="C587" s="1">
        <v>45104.597998333331</v>
      </c>
      <c r="D587" t="s">
        <v>284</v>
      </c>
      <c r="E587" t="s">
        <v>10</v>
      </c>
      <c r="F587" t="s">
        <v>24</v>
      </c>
      <c r="G587" t="s">
        <v>22</v>
      </c>
      <c r="H587">
        <v>5</v>
      </c>
      <c r="I587">
        <v>416</v>
      </c>
      <c r="J587">
        <v>2080</v>
      </c>
      <c r="K587" t="str">
        <f>TEXT(Table1[[#This Row],[Date]],"dddd")</f>
        <v>Tuesday</v>
      </c>
      <c r="L587" t="str">
        <f>TEXT(Table1[[#This Row],[Date]],"mmm-yyyy")</f>
        <v>Jun-2023</v>
      </c>
      <c r="M587">
        <f>HOUR(Table1[[#This Row],[Time]])</f>
        <v>14</v>
      </c>
    </row>
    <row r="588" spans="1:13" x14ac:dyDescent="0.3">
      <c r="A588">
        <v>1587</v>
      </c>
      <c r="B588" s="3">
        <v>45104.901584652776</v>
      </c>
      <c r="C588" s="1">
        <v>45104.901584652776</v>
      </c>
      <c r="D588" t="s">
        <v>214</v>
      </c>
      <c r="E588" t="s">
        <v>14</v>
      </c>
      <c r="F588" t="s">
        <v>18</v>
      </c>
      <c r="G588" t="s">
        <v>12</v>
      </c>
      <c r="H588">
        <v>4</v>
      </c>
      <c r="I588">
        <v>734</v>
      </c>
      <c r="J588">
        <v>2936</v>
      </c>
      <c r="K588" t="str">
        <f>TEXT(Table1[[#This Row],[Date]],"dddd")</f>
        <v>Tuesday</v>
      </c>
      <c r="L588" t="str">
        <f>TEXT(Table1[[#This Row],[Date]],"mmm-yyyy")</f>
        <v>Jun-2023</v>
      </c>
      <c r="M588">
        <f>HOUR(Table1[[#This Row],[Time]])</f>
        <v>21</v>
      </c>
    </row>
    <row r="589" spans="1:13" x14ac:dyDescent="0.3">
      <c r="A589">
        <v>1588</v>
      </c>
      <c r="B589" s="3">
        <v>45105.205170972222</v>
      </c>
      <c r="C589" s="1">
        <v>45105.205170972222</v>
      </c>
      <c r="D589" t="s">
        <v>43</v>
      </c>
      <c r="E589" t="s">
        <v>17</v>
      </c>
      <c r="F589" t="s">
        <v>39</v>
      </c>
      <c r="G589" t="s">
        <v>29</v>
      </c>
      <c r="H589">
        <v>1</v>
      </c>
      <c r="I589">
        <v>108</v>
      </c>
      <c r="J589">
        <v>108</v>
      </c>
      <c r="K589" t="str">
        <f>TEXT(Table1[[#This Row],[Date]],"dddd")</f>
        <v>Wednesday</v>
      </c>
      <c r="L589" t="str">
        <f>TEXT(Table1[[#This Row],[Date]],"mmm-yyyy")</f>
        <v>Jun-2023</v>
      </c>
      <c r="M589">
        <f>HOUR(Table1[[#This Row],[Time]])</f>
        <v>4</v>
      </c>
    </row>
    <row r="590" spans="1:13" x14ac:dyDescent="0.3">
      <c r="A590">
        <v>1589</v>
      </c>
      <c r="B590" s="3">
        <v>45105.508757303243</v>
      </c>
      <c r="C590" s="1">
        <v>45105.508757303243</v>
      </c>
      <c r="D590" t="s">
        <v>285</v>
      </c>
      <c r="E590" t="s">
        <v>17</v>
      </c>
      <c r="F590" t="s">
        <v>24</v>
      </c>
      <c r="G590" t="s">
        <v>35</v>
      </c>
      <c r="H590">
        <v>4</v>
      </c>
      <c r="I590">
        <v>873</v>
      </c>
      <c r="J590">
        <v>3492</v>
      </c>
      <c r="K590" t="str">
        <f>TEXT(Table1[[#This Row],[Date]],"dddd")</f>
        <v>Wednesday</v>
      </c>
      <c r="L590" t="str">
        <f>TEXT(Table1[[#This Row],[Date]],"mmm-yyyy")</f>
        <v>Jun-2023</v>
      </c>
      <c r="M590">
        <f>HOUR(Table1[[#This Row],[Time]])</f>
        <v>12</v>
      </c>
    </row>
    <row r="591" spans="1:13" x14ac:dyDescent="0.3">
      <c r="A591">
        <v>1590</v>
      </c>
      <c r="B591" s="3">
        <v>45105.812343622689</v>
      </c>
      <c r="C591" s="1">
        <v>45105.812343622689</v>
      </c>
      <c r="D591" t="s">
        <v>108</v>
      </c>
      <c r="E591" t="s">
        <v>17</v>
      </c>
      <c r="F591" t="s">
        <v>18</v>
      </c>
      <c r="G591" t="s">
        <v>33</v>
      </c>
      <c r="H591">
        <v>1</v>
      </c>
      <c r="I591">
        <v>172</v>
      </c>
      <c r="J591">
        <v>172</v>
      </c>
      <c r="K591" t="str">
        <f>TEXT(Table1[[#This Row],[Date]],"dddd")</f>
        <v>Wednesday</v>
      </c>
      <c r="L591" t="str">
        <f>TEXT(Table1[[#This Row],[Date]],"mmm-yyyy")</f>
        <v>Jun-2023</v>
      </c>
      <c r="M591">
        <f>HOUR(Table1[[#This Row],[Time]])</f>
        <v>19</v>
      </c>
    </row>
    <row r="592" spans="1:13" x14ac:dyDescent="0.3">
      <c r="A592">
        <v>1591</v>
      </c>
      <c r="B592" s="3">
        <v>45106.115929942127</v>
      </c>
      <c r="C592" s="1">
        <v>45106.115929942127</v>
      </c>
      <c r="D592" t="s">
        <v>286</v>
      </c>
      <c r="E592" t="s">
        <v>17</v>
      </c>
      <c r="F592" t="s">
        <v>39</v>
      </c>
      <c r="G592" t="s">
        <v>25</v>
      </c>
      <c r="H592">
        <v>1</v>
      </c>
      <c r="I592">
        <v>458</v>
      </c>
      <c r="J592">
        <v>458</v>
      </c>
      <c r="K592" t="str">
        <f>TEXT(Table1[[#This Row],[Date]],"dddd")</f>
        <v>Thursday</v>
      </c>
      <c r="L592" t="str">
        <f>TEXT(Table1[[#This Row],[Date]],"mmm-yyyy")</f>
        <v>Jun-2023</v>
      </c>
      <c r="M592">
        <f>HOUR(Table1[[#This Row],[Time]])</f>
        <v>2</v>
      </c>
    </row>
    <row r="593" spans="1:13" x14ac:dyDescent="0.3">
      <c r="A593">
        <v>1592</v>
      </c>
      <c r="B593" s="3">
        <v>45106.419516261572</v>
      </c>
      <c r="C593" s="1">
        <v>45106.419516261572</v>
      </c>
      <c r="D593" t="s">
        <v>88</v>
      </c>
      <c r="E593" t="s">
        <v>14</v>
      </c>
      <c r="F593" t="s">
        <v>18</v>
      </c>
      <c r="G593" t="s">
        <v>33</v>
      </c>
      <c r="H593">
        <v>1</v>
      </c>
      <c r="I593">
        <v>322</v>
      </c>
      <c r="J593">
        <v>322</v>
      </c>
      <c r="K593" t="str">
        <f>TEXT(Table1[[#This Row],[Date]],"dddd")</f>
        <v>Thursday</v>
      </c>
      <c r="L593" t="str">
        <f>TEXT(Table1[[#This Row],[Date]],"mmm-yyyy")</f>
        <v>Jun-2023</v>
      </c>
      <c r="M593">
        <f>HOUR(Table1[[#This Row],[Time]])</f>
        <v>10</v>
      </c>
    </row>
    <row r="594" spans="1:13" x14ac:dyDescent="0.3">
      <c r="A594">
        <v>1593</v>
      </c>
      <c r="B594" s="3">
        <v>45106.723102581018</v>
      </c>
      <c r="C594" s="1">
        <v>45106.723102581018</v>
      </c>
      <c r="D594" t="s">
        <v>185</v>
      </c>
      <c r="E594" t="s">
        <v>28</v>
      </c>
      <c r="F594" t="s">
        <v>15</v>
      </c>
      <c r="G594" t="s">
        <v>42</v>
      </c>
      <c r="H594">
        <v>5</v>
      </c>
      <c r="I594">
        <v>515</v>
      </c>
      <c r="J594">
        <v>2575</v>
      </c>
      <c r="K594" t="str">
        <f>TEXT(Table1[[#This Row],[Date]],"dddd")</f>
        <v>Thursday</v>
      </c>
      <c r="L594" t="str">
        <f>TEXT(Table1[[#This Row],[Date]],"mmm-yyyy")</f>
        <v>Jun-2023</v>
      </c>
      <c r="M594">
        <f>HOUR(Table1[[#This Row],[Time]])</f>
        <v>17</v>
      </c>
    </row>
    <row r="595" spans="1:13" x14ac:dyDescent="0.3">
      <c r="A595">
        <v>1594</v>
      </c>
      <c r="B595" s="3">
        <v>45107.026688912039</v>
      </c>
      <c r="C595" s="1">
        <v>45107.026688912039</v>
      </c>
      <c r="D595" t="s">
        <v>188</v>
      </c>
      <c r="E595" t="s">
        <v>14</v>
      </c>
      <c r="F595" t="s">
        <v>15</v>
      </c>
      <c r="G595" t="s">
        <v>40</v>
      </c>
      <c r="H595">
        <v>2</v>
      </c>
      <c r="I595">
        <v>652</v>
      </c>
      <c r="J595">
        <v>1304</v>
      </c>
      <c r="K595" t="str">
        <f>TEXT(Table1[[#This Row],[Date]],"dddd")</f>
        <v>Friday</v>
      </c>
      <c r="L595" t="str">
        <f>TEXT(Table1[[#This Row],[Date]],"mmm-yyyy")</f>
        <v>Jun-2023</v>
      </c>
      <c r="M595">
        <f>HOUR(Table1[[#This Row],[Time]])</f>
        <v>0</v>
      </c>
    </row>
    <row r="596" spans="1:13" x14ac:dyDescent="0.3">
      <c r="A596">
        <v>1595</v>
      </c>
      <c r="B596" s="3">
        <v>45107.330275231485</v>
      </c>
      <c r="C596" s="1">
        <v>45107.330275231485</v>
      </c>
      <c r="D596" t="s">
        <v>209</v>
      </c>
      <c r="E596" t="s">
        <v>28</v>
      </c>
      <c r="F596" t="s">
        <v>39</v>
      </c>
      <c r="G596" t="s">
        <v>22</v>
      </c>
      <c r="H596">
        <v>4</v>
      </c>
      <c r="I596">
        <v>469</v>
      </c>
      <c r="J596">
        <v>1876</v>
      </c>
      <c r="K596" t="str">
        <f>TEXT(Table1[[#This Row],[Date]],"dddd")</f>
        <v>Friday</v>
      </c>
      <c r="L596" t="str">
        <f>TEXT(Table1[[#This Row],[Date]],"mmm-yyyy")</f>
        <v>Jun-2023</v>
      </c>
      <c r="M596">
        <f>HOUR(Table1[[#This Row],[Time]])</f>
        <v>7</v>
      </c>
    </row>
    <row r="597" spans="1:13" x14ac:dyDescent="0.3">
      <c r="A597">
        <v>1596</v>
      </c>
      <c r="B597" s="3">
        <v>45107.633861550923</v>
      </c>
      <c r="C597" s="1">
        <v>45107.633861550923</v>
      </c>
      <c r="D597" t="s">
        <v>57</v>
      </c>
      <c r="E597" t="s">
        <v>28</v>
      </c>
      <c r="F597" t="s">
        <v>18</v>
      </c>
      <c r="G597" t="s">
        <v>25</v>
      </c>
      <c r="H597">
        <v>5</v>
      </c>
      <c r="I597">
        <v>815</v>
      </c>
      <c r="J597">
        <v>4075</v>
      </c>
      <c r="K597" t="str">
        <f>TEXT(Table1[[#This Row],[Date]],"dddd")</f>
        <v>Friday</v>
      </c>
      <c r="L597" t="str">
        <f>TEXT(Table1[[#This Row],[Date]],"mmm-yyyy")</f>
        <v>Jun-2023</v>
      </c>
      <c r="M597">
        <f>HOUR(Table1[[#This Row],[Time]])</f>
        <v>15</v>
      </c>
    </row>
    <row r="598" spans="1:13" x14ac:dyDescent="0.3">
      <c r="A598">
        <v>1597</v>
      </c>
      <c r="B598" s="3">
        <v>45107.937447870368</v>
      </c>
      <c r="C598" s="1">
        <v>45107.937447870368</v>
      </c>
      <c r="D598" t="s">
        <v>252</v>
      </c>
      <c r="E598" t="s">
        <v>28</v>
      </c>
      <c r="F598" t="s">
        <v>11</v>
      </c>
      <c r="G598" t="s">
        <v>29</v>
      </c>
      <c r="H598">
        <v>5</v>
      </c>
      <c r="I598">
        <v>363</v>
      </c>
      <c r="J598">
        <v>1815</v>
      </c>
      <c r="K598" t="str">
        <f>TEXT(Table1[[#This Row],[Date]],"dddd")</f>
        <v>Friday</v>
      </c>
      <c r="L598" t="str">
        <f>TEXT(Table1[[#This Row],[Date]],"mmm-yyyy")</f>
        <v>Jun-2023</v>
      </c>
      <c r="M598">
        <f>HOUR(Table1[[#This Row],[Time]])</f>
        <v>22</v>
      </c>
    </row>
    <row r="599" spans="1:13" x14ac:dyDescent="0.3">
      <c r="A599">
        <v>1598</v>
      </c>
      <c r="B599" s="3">
        <v>45108.241034189814</v>
      </c>
      <c r="C599" s="1">
        <v>45108.241034189814</v>
      </c>
      <c r="D599" t="s">
        <v>98</v>
      </c>
      <c r="E599" t="s">
        <v>17</v>
      </c>
      <c r="F599" t="s">
        <v>18</v>
      </c>
      <c r="G599" t="s">
        <v>35</v>
      </c>
      <c r="H599">
        <v>5</v>
      </c>
      <c r="I599">
        <v>939</v>
      </c>
      <c r="J599">
        <v>4695</v>
      </c>
      <c r="K599" t="str">
        <f>TEXT(Table1[[#This Row],[Date]],"dddd")</f>
        <v>Saturday</v>
      </c>
      <c r="L599" t="str">
        <f>TEXT(Table1[[#This Row],[Date]],"mmm-yyyy")</f>
        <v>Jul-2023</v>
      </c>
      <c r="M599">
        <f>HOUR(Table1[[#This Row],[Time]])</f>
        <v>5</v>
      </c>
    </row>
    <row r="600" spans="1:13" x14ac:dyDescent="0.3">
      <c r="A600">
        <v>1599</v>
      </c>
      <c r="B600" s="3">
        <v>45108.544620520835</v>
      </c>
      <c r="C600" s="1">
        <v>45108.544620520835</v>
      </c>
      <c r="D600" t="s">
        <v>78</v>
      </c>
      <c r="E600" t="s">
        <v>14</v>
      </c>
      <c r="F600" t="s">
        <v>11</v>
      </c>
      <c r="G600" t="s">
        <v>35</v>
      </c>
      <c r="H600">
        <v>5</v>
      </c>
      <c r="I600">
        <v>789</v>
      </c>
      <c r="J600">
        <v>3945</v>
      </c>
      <c r="K600" t="str">
        <f>TEXT(Table1[[#This Row],[Date]],"dddd")</f>
        <v>Saturday</v>
      </c>
      <c r="L600" t="str">
        <f>TEXT(Table1[[#This Row],[Date]],"mmm-yyyy")</f>
        <v>Jul-2023</v>
      </c>
      <c r="M600">
        <f>HOUR(Table1[[#This Row],[Time]])</f>
        <v>13</v>
      </c>
    </row>
    <row r="601" spans="1:13" x14ac:dyDescent="0.3">
      <c r="A601">
        <v>1600</v>
      </c>
      <c r="B601" s="3">
        <v>45108.848206840281</v>
      </c>
      <c r="C601" s="1">
        <v>45108.848206840281</v>
      </c>
      <c r="D601" t="s">
        <v>252</v>
      </c>
      <c r="E601" t="s">
        <v>28</v>
      </c>
      <c r="F601" t="s">
        <v>24</v>
      </c>
      <c r="G601" t="s">
        <v>29</v>
      </c>
      <c r="H601">
        <v>5</v>
      </c>
      <c r="I601">
        <v>959</v>
      </c>
      <c r="J601">
        <v>4795</v>
      </c>
      <c r="K601" t="str">
        <f>TEXT(Table1[[#This Row],[Date]],"dddd")</f>
        <v>Saturday</v>
      </c>
      <c r="L601" t="str">
        <f>TEXT(Table1[[#This Row],[Date]],"mmm-yyyy")</f>
        <v>Jul-2023</v>
      </c>
      <c r="M601">
        <f>HOUR(Table1[[#This Row],[Time]])</f>
        <v>20</v>
      </c>
    </row>
    <row r="602" spans="1:13" x14ac:dyDescent="0.3">
      <c r="A602">
        <v>1601</v>
      </c>
      <c r="B602" s="3">
        <v>45109.151793159719</v>
      </c>
      <c r="C602" s="1">
        <v>45109.151793159719</v>
      </c>
      <c r="D602" t="s">
        <v>55</v>
      </c>
      <c r="E602" t="s">
        <v>10</v>
      </c>
      <c r="F602" t="s">
        <v>24</v>
      </c>
      <c r="G602" t="s">
        <v>42</v>
      </c>
      <c r="H602">
        <v>3</v>
      </c>
      <c r="I602">
        <v>417</v>
      </c>
      <c r="J602">
        <v>1251</v>
      </c>
      <c r="K602" t="str">
        <f>TEXT(Table1[[#This Row],[Date]],"dddd")</f>
        <v>Sunday</v>
      </c>
      <c r="L602" t="str">
        <f>TEXT(Table1[[#This Row],[Date]],"mmm-yyyy")</f>
        <v>Jul-2023</v>
      </c>
      <c r="M602">
        <f>HOUR(Table1[[#This Row],[Time]])</f>
        <v>3</v>
      </c>
    </row>
    <row r="603" spans="1:13" x14ac:dyDescent="0.3">
      <c r="A603">
        <v>1602</v>
      </c>
      <c r="B603" s="3">
        <v>45109.455379479165</v>
      </c>
      <c r="C603" s="1">
        <v>45109.455379479165</v>
      </c>
      <c r="D603" t="s">
        <v>57</v>
      </c>
      <c r="E603" t="s">
        <v>28</v>
      </c>
      <c r="F603" t="s">
        <v>24</v>
      </c>
      <c r="G603" t="s">
        <v>22</v>
      </c>
      <c r="H603">
        <v>4</v>
      </c>
      <c r="I603">
        <v>183</v>
      </c>
      <c r="J603">
        <v>732</v>
      </c>
      <c r="K603" t="str">
        <f>TEXT(Table1[[#This Row],[Date]],"dddd")</f>
        <v>Sunday</v>
      </c>
      <c r="L603" t="str">
        <f>TEXT(Table1[[#This Row],[Date]],"mmm-yyyy")</f>
        <v>Jul-2023</v>
      </c>
      <c r="M603">
        <f>HOUR(Table1[[#This Row],[Time]])</f>
        <v>10</v>
      </c>
    </row>
    <row r="604" spans="1:13" x14ac:dyDescent="0.3">
      <c r="A604">
        <v>1603</v>
      </c>
      <c r="B604" s="3">
        <v>45109.758965810186</v>
      </c>
      <c r="C604" s="1">
        <v>45109.758965810186</v>
      </c>
      <c r="D604" t="s">
        <v>49</v>
      </c>
      <c r="E604" t="s">
        <v>14</v>
      </c>
      <c r="F604" t="s">
        <v>18</v>
      </c>
      <c r="G604" t="s">
        <v>19</v>
      </c>
      <c r="H604">
        <v>5</v>
      </c>
      <c r="I604">
        <v>417</v>
      </c>
      <c r="J604">
        <v>2085</v>
      </c>
      <c r="K604" t="str">
        <f>TEXT(Table1[[#This Row],[Date]],"dddd")</f>
        <v>Sunday</v>
      </c>
      <c r="L604" t="str">
        <f>TEXT(Table1[[#This Row],[Date]],"mmm-yyyy")</f>
        <v>Jul-2023</v>
      </c>
      <c r="M604">
        <f>HOUR(Table1[[#This Row],[Time]])</f>
        <v>18</v>
      </c>
    </row>
    <row r="605" spans="1:13" x14ac:dyDescent="0.3">
      <c r="A605">
        <v>1604</v>
      </c>
      <c r="B605" s="3">
        <v>45110.062552129632</v>
      </c>
      <c r="C605" s="1">
        <v>45110.062552129632</v>
      </c>
      <c r="D605" t="s">
        <v>253</v>
      </c>
      <c r="E605" t="s">
        <v>17</v>
      </c>
      <c r="F605" t="s">
        <v>39</v>
      </c>
      <c r="G605" t="s">
        <v>40</v>
      </c>
      <c r="H605">
        <v>4</v>
      </c>
      <c r="I605">
        <v>210</v>
      </c>
      <c r="J605">
        <v>840</v>
      </c>
      <c r="K605" t="str">
        <f>TEXT(Table1[[#This Row],[Date]],"dddd")</f>
        <v>Monday</v>
      </c>
      <c r="L605" t="str">
        <f>TEXT(Table1[[#This Row],[Date]],"mmm-yyyy")</f>
        <v>Jul-2023</v>
      </c>
      <c r="M605">
        <f>HOUR(Table1[[#This Row],[Time]])</f>
        <v>1</v>
      </c>
    </row>
    <row r="606" spans="1:13" x14ac:dyDescent="0.3">
      <c r="A606">
        <v>1605</v>
      </c>
      <c r="B606" s="3">
        <v>45110.366138449077</v>
      </c>
      <c r="C606" s="1">
        <v>45110.366138449077</v>
      </c>
      <c r="D606" t="s">
        <v>287</v>
      </c>
      <c r="E606" t="s">
        <v>10</v>
      </c>
      <c r="F606" t="s">
        <v>11</v>
      </c>
      <c r="G606" t="s">
        <v>19</v>
      </c>
      <c r="H606">
        <v>3</v>
      </c>
      <c r="I606">
        <v>350</v>
      </c>
      <c r="J606">
        <v>1050</v>
      </c>
      <c r="K606" t="str">
        <f>TEXT(Table1[[#This Row],[Date]],"dddd")</f>
        <v>Monday</v>
      </c>
      <c r="L606" t="str">
        <f>TEXT(Table1[[#This Row],[Date]],"mmm-yyyy")</f>
        <v>Jul-2023</v>
      </c>
      <c r="M606">
        <f>HOUR(Table1[[#This Row],[Time]])</f>
        <v>8</v>
      </c>
    </row>
    <row r="607" spans="1:13" x14ac:dyDescent="0.3">
      <c r="A607">
        <v>1606</v>
      </c>
      <c r="B607" s="3">
        <v>45110.669724768515</v>
      </c>
      <c r="C607" s="1">
        <v>45110.669724768515</v>
      </c>
      <c r="D607" t="s">
        <v>202</v>
      </c>
      <c r="E607" t="s">
        <v>28</v>
      </c>
      <c r="F607" t="s">
        <v>18</v>
      </c>
      <c r="G607" t="s">
        <v>12</v>
      </c>
      <c r="H607">
        <v>3</v>
      </c>
      <c r="I607">
        <v>482</v>
      </c>
      <c r="J607">
        <v>1446</v>
      </c>
      <c r="K607" t="str">
        <f>TEXT(Table1[[#This Row],[Date]],"dddd")</f>
        <v>Monday</v>
      </c>
      <c r="L607" t="str">
        <f>TEXT(Table1[[#This Row],[Date]],"mmm-yyyy")</f>
        <v>Jul-2023</v>
      </c>
      <c r="M607">
        <f>HOUR(Table1[[#This Row],[Time]])</f>
        <v>16</v>
      </c>
    </row>
    <row r="608" spans="1:13" x14ac:dyDescent="0.3">
      <c r="A608">
        <v>1607</v>
      </c>
      <c r="B608" s="3">
        <v>45110.973311087961</v>
      </c>
      <c r="C608" s="1">
        <v>45110.973311087961</v>
      </c>
      <c r="D608" t="s">
        <v>238</v>
      </c>
      <c r="E608" t="s">
        <v>17</v>
      </c>
      <c r="F608" t="s">
        <v>24</v>
      </c>
      <c r="G608" t="s">
        <v>33</v>
      </c>
      <c r="H608">
        <v>4</v>
      </c>
      <c r="I608">
        <v>106</v>
      </c>
      <c r="J608">
        <v>424</v>
      </c>
      <c r="K608" t="str">
        <f>TEXT(Table1[[#This Row],[Date]],"dddd")</f>
        <v>Monday</v>
      </c>
      <c r="L608" t="str">
        <f>TEXT(Table1[[#This Row],[Date]],"mmm-yyyy")</f>
        <v>Jul-2023</v>
      </c>
      <c r="M608">
        <f>HOUR(Table1[[#This Row],[Time]])</f>
        <v>23</v>
      </c>
    </row>
    <row r="609" spans="1:13" x14ac:dyDescent="0.3">
      <c r="A609">
        <v>1608</v>
      </c>
      <c r="B609" s="3">
        <v>45111.276897418982</v>
      </c>
      <c r="C609" s="1">
        <v>45111.276897418982</v>
      </c>
      <c r="D609" t="s">
        <v>142</v>
      </c>
      <c r="E609" t="s">
        <v>14</v>
      </c>
      <c r="F609" t="s">
        <v>15</v>
      </c>
      <c r="G609" t="s">
        <v>12</v>
      </c>
      <c r="H609">
        <v>1</v>
      </c>
      <c r="I609">
        <v>558</v>
      </c>
      <c r="J609">
        <v>558</v>
      </c>
      <c r="K609" t="str">
        <f>TEXT(Table1[[#This Row],[Date]],"dddd")</f>
        <v>Tuesday</v>
      </c>
      <c r="L609" t="str">
        <f>TEXT(Table1[[#This Row],[Date]],"mmm-yyyy")</f>
        <v>Jul-2023</v>
      </c>
      <c r="M609">
        <f>HOUR(Table1[[#This Row],[Time]])</f>
        <v>6</v>
      </c>
    </row>
    <row r="610" spans="1:13" x14ac:dyDescent="0.3">
      <c r="A610">
        <v>1609</v>
      </c>
      <c r="B610" s="3">
        <v>45111.580483738428</v>
      </c>
      <c r="C610" s="1">
        <v>45111.580483738428</v>
      </c>
      <c r="D610" t="s">
        <v>137</v>
      </c>
      <c r="E610" t="s">
        <v>14</v>
      </c>
      <c r="F610" t="s">
        <v>24</v>
      </c>
      <c r="G610" t="s">
        <v>42</v>
      </c>
      <c r="H610">
        <v>2</v>
      </c>
      <c r="I610">
        <v>183</v>
      </c>
      <c r="J610">
        <v>366</v>
      </c>
      <c r="K610" t="str">
        <f>TEXT(Table1[[#This Row],[Date]],"dddd")</f>
        <v>Tuesday</v>
      </c>
      <c r="L610" t="str">
        <f>TEXT(Table1[[#This Row],[Date]],"mmm-yyyy")</f>
        <v>Jul-2023</v>
      </c>
      <c r="M610">
        <f>HOUR(Table1[[#This Row],[Time]])</f>
        <v>13</v>
      </c>
    </row>
    <row r="611" spans="1:13" x14ac:dyDescent="0.3">
      <c r="A611">
        <v>1610</v>
      </c>
      <c r="B611" s="3">
        <v>45111.884070057873</v>
      </c>
      <c r="C611" s="1">
        <v>45111.884070057873</v>
      </c>
      <c r="D611" t="s">
        <v>225</v>
      </c>
      <c r="E611" t="s">
        <v>10</v>
      </c>
      <c r="F611" t="s">
        <v>39</v>
      </c>
      <c r="G611" t="s">
        <v>33</v>
      </c>
      <c r="H611">
        <v>1</v>
      </c>
      <c r="I611">
        <v>307</v>
      </c>
      <c r="J611">
        <v>307</v>
      </c>
      <c r="K611" t="str">
        <f>TEXT(Table1[[#This Row],[Date]],"dddd")</f>
        <v>Tuesday</v>
      </c>
      <c r="L611" t="str">
        <f>TEXT(Table1[[#This Row],[Date]],"mmm-yyyy")</f>
        <v>Jul-2023</v>
      </c>
      <c r="M611">
        <f>HOUR(Table1[[#This Row],[Time]])</f>
        <v>21</v>
      </c>
    </row>
    <row r="612" spans="1:13" x14ac:dyDescent="0.3">
      <c r="A612">
        <v>1611</v>
      </c>
      <c r="B612" s="3">
        <v>45112.187656377311</v>
      </c>
      <c r="C612" s="1">
        <v>45112.187656377311</v>
      </c>
      <c r="D612" t="s">
        <v>240</v>
      </c>
      <c r="E612" t="s">
        <v>10</v>
      </c>
      <c r="F612" t="s">
        <v>24</v>
      </c>
      <c r="G612" t="s">
        <v>22</v>
      </c>
      <c r="H612">
        <v>1</v>
      </c>
      <c r="I612">
        <v>999</v>
      </c>
      <c r="J612">
        <v>999</v>
      </c>
      <c r="K612" t="str">
        <f>TEXT(Table1[[#This Row],[Date]],"dddd")</f>
        <v>Wednesday</v>
      </c>
      <c r="L612" t="str">
        <f>TEXT(Table1[[#This Row],[Date]],"mmm-yyyy")</f>
        <v>Jul-2023</v>
      </c>
      <c r="M612">
        <f>HOUR(Table1[[#This Row],[Time]])</f>
        <v>4</v>
      </c>
    </row>
    <row r="613" spans="1:13" x14ac:dyDescent="0.3">
      <c r="A613">
        <v>1612</v>
      </c>
      <c r="B613" s="3">
        <v>45112.491242696757</v>
      </c>
      <c r="C613" s="1">
        <v>45112.491242696757</v>
      </c>
      <c r="D613" t="s">
        <v>21</v>
      </c>
      <c r="E613" t="s">
        <v>28</v>
      </c>
      <c r="F613" t="s">
        <v>39</v>
      </c>
      <c r="G613" t="s">
        <v>33</v>
      </c>
      <c r="H613">
        <v>1</v>
      </c>
      <c r="I613">
        <v>489</v>
      </c>
      <c r="J613">
        <v>489</v>
      </c>
      <c r="K613" t="str">
        <f>TEXT(Table1[[#This Row],[Date]],"dddd")</f>
        <v>Wednesday</v>
      </c>
      <c r="L613" t="str">
        <f>TEXT(Table1[[#This Row],[Date]],"mmm-yyyy")</f>
        <v>Jul-2023</v>
      </c>
      <c r="M613">
        <f>HOUR(Table1[[#This Row],[Time]])</f>
        <v>11</v>
      </c>
    </row>
    <row r="614" spans="1:13" x14ac:dyDescent="0.3">
      <c r="A614">
        <v>1613</v>
      </c>
      <c r="B614" s="3">
        <v>45112.794829027778</v>
      </c>
      <c r="C614" s="1">
        <v>45112.794829027778</v>
      </c>
      <c r="D614" t="s">
        <v>73</v>
      </c>
      <c r="E614" t="s">
        <v>17</v>
      </c>
      <c r="F614" t="s">
        <v>15</v>
      </c>
      <c r="G614" t="s">
        <v>33</v>
      </c>
      <c r="H614">
        <v>5</v>
      </c>
      <c r="I614">
        <v>413</v>
      </c>
      <c r="J614">
        <v>2065</v>
      </c>
      <c r="K614" t="str">
        <f>TEXT(Table1[[#This Row],[Date]],"dddd")</f>
        <v>Wednesday</v>
      </c>
      <c r="L614" t="str">
        <f>TEXT(Table1[[#This Row],[Date]],"mmm-yyyy")</f>
        <v>Jul-2023</v>
      </c>
      <c r="M614">
        <f>HOUR(Table1[[#This Row],[Time]])</f>
        <v>19</v>
      </c>
    </row>
    <row r="615" spans="1:13" x14ac:dyDescent="0.3">
      <c r="A615">
        <v>1614</v>
      </c>
      <c r="B615" s="3">
        <v>45113.098415347224</v>
      </c>
      <c r="C615" s="1">
        <v>45113.098415347224</v>
      </c>
      <c r="D615" t="s">
        <v>206</v>
      </c>
      <c r="E615" t="s">
        <v>17</v>
      </c>
      <c r="F615" t="s">
        <v>11</v>
      </c>
      <c r="G615" t="s">
        <v>25</v>
      </c>
      <c r="H615">
        <v>3</v>
      </c>
      <c r="I615">
        <v>121</v>
      </c>
      <c r="J615">
        <v>363</v>
      </c>
      <c r="K615" t="str">
        <f>TEXT(Table1[[#This Row],[Date]],"dddd")</f>
        <v>Thursday</v>
      </c>
      <c r="L615" t="str">
        <f>TEXT(Table1[[#This Row],[Date]],"mmm-yyyy")</f>
        <v>Jul-2023</v>
      </c>
      <c r="M615">
        <f>HOUR(Table1[[#This Row],[Time]])</f>
        <v>2</v>
      </c>
    </row>
    <row r="616" spans="1:13" x14ac:dyDescent="0.3">
      <c r="A616">
        <v>1615</v>
      </c>
      <c r="B616" s="3">
        <v>45113.402001666669</v>
      </c>
      <c r="C616" s="1">
        <v>45113.402001666669</v>
      </c>
      <c r="D616" t="s">
        <v>34</v>
      </c>
      <c r="E616" t="s">
        <v>14</v>
      </c>
      <c r="F616" t="s">
        <v>24</v>
      </c>
      <c r="G616" t="s">
        <v>25</v>
      </c>
      <c r="H616">
        <v>1</v>
      </c>
      <c r="I616">
        <v>509</v>
      </c>
      <c r="J616">
        <v>509</v>
      </c>
      <c r="K616" t="str">
        <f>TEXT(Table1[[#This Row],[Date]],"dddd")</f>
        <v>Thursday</v>
      </c>
      <c r="L616" t="str">
        <f>TEXT(Table1[[#This Row],[Date]],"mmm-yyyy")</f>
        <v>Jul-2023</v>
      </c>
      <c r="M616">
        <f>HOUR(Table1[[#This Row],[Time]])</f>
        <v>9</v>
      </c>
    </row>
    <row r="617" spans="1:13" x14ac:dyDescent="0.3">
      <c r="A617">
        <v>1616</v>
      </c>
      <c r="B617" s="3">
        <v>45113.705587986115</v>
      </c>
      <c r="C617" s="1">
        <v>45113.705587986115</v>
      </c>
      <c r="D617" t="s">
        <v>104</v>
      </c>
      <c r="E617" t="s">
        <v>14</v>
      </c>
      <c r="F617" t="s">
        <v>39</v>
      </c>
      <c r="G617" t="s">
        <v>42</v>
      </c>
      <c r="H617">
        <v>3</v>
      </c>
      <c r="I617">
        <v>994</v>
      </c>
      <c r="J617">
        <v>2982</v>
      </c>
      <c r="K617" t="str">
        <f>TEXT(Table1[[#This Row],[Date]],"dddd")</f>
        <v>Thursday</v>
      </c>
      <c r="L617" t="str">
        <f>TEXT(Table1[[#This Row],[Date]],"mmm-yyyy")</f>
        <v>Jul-2023</v>
      </c>
      <c r="M617">
        <f>HOUR(Table1[[#This Row],[Time]])</f>
        <v>16</v>
      </c>
    </row>
    <row r="618" spans="1:13" x14ac:dyDescent="0.3">
      <c r="A618">
        <v>1617</v>
      </c>
      <c r="B618" s="3">
        <v>45114.009174317129</v>
      </c>
      <c r="C618" s="1">
        <v>45114.009174317129</v>
      </c>
      <c r="D618" t="s">
        <v>155</v>
      </c>
      <c r="E618" t="s">
        <v>28</v>
      </c>
      <c r="F618" t="s">
        <v>11</v>
      </c>
      <c r="G618" t="s">
        <v>12</v>
      </c>
      <c r="H618">
        <v>4</v>
      </c>
      <c r="I618">
        <v>614</v>
      </c>
      <c r="J618">
        <v>2456</v>
      </c>
      <c r="K618" t="str">
        <f>TEXT(Table1[[#This Row],[Date]],"dddd")</f>
        <v>Friday</v>
      </c>
      <c r="L618" t="str">
        <f>TEXT(Table1[[#This Row],[Date]],"mmm-yyyy")</f>
        <v>Jul-2023</v>
      </c>
      <c r="M618">
        <f>HOUR(Table1[[#This Row],[Time]])</f>
        <v>0</v>
      </c>
    </row>
    <row r="619" spans="1:13" x14ac:dyDescent="0.3">
      <c r="A619">
        <v>1618</v>
      </c>
      <c r="B619" s="3">
        <v>45114.312760636574</v>
      </c>
      <c r="C619" s="1">
        <v>45114.312760636574</v>
      </c>
      <c r="D619" t="s">
        <v>163</v>
      </c>
      <c r="E619" t="s">
        <v>28</v>
      </c>
      <c r="F619" t="s">
        <v>15</v>
      </c>
      <c r="G619" t="s">
        <v>29</v>
      </c>
      <c r="H619">
        <v>2</v>
      </c>
      <c r="I619">
        <v>226</v>
      </c>
      <c r="J619">
        <v>452</v>
      </c>
      <c r="K619" t="str">
        <f>TEXT(Table1[[#This Row],[Date]],"dddd")</f>
        <v>Friday</v>
      </c>
      <c r="L619" t="str">
        <f>TEXT(Table1[[#This Row],[Date]],"mmm-yyyy")</f>
        <v>Jul-2023</v>
      </c>
      <c r="M619">
        <f>HOUR(Table1[[#This Row],[Time]])</f>
        <v>7</v>
      </c>
    </row>
    <row r="620" spans="1:13" x14ac:dyDescent="0.3">
      <c r="A620">
        <v>1619</v>
      </c>
      <c r="B620" s="3">
        <v>45114.61634695602</v>
      </c>
      <c r="C620" s="1">
        <v>45114.61634695602</v>
      </c>
      <c r="D620" t="s">
        <v>117</v>
      </c>
      <c r="E620" t="s">
        <v>14</v>
      </c>
      <c r="F620" t="s">
        <v>39</v>
      </c>
      <c r="G620" t="s">
        <v>22</v>
      </c>
      <c r="H620">
        <v>4</v>
      </c>
      <c r="I620">
        <v>908</v>
      </c>
      <c r="J620">
        <v>3632</v>
      </c>
      <c r="K620" t="str">
        <f>TEXT(Table1[[#This Row],[Date]],"dddd")</f>
        <v>Friday</v>
      </c>
      <c r="L620" t="str">
        <f>TEXT(Table1[[#This Row],[Date]],"mmm-yyyy")</f>
        <v>Jul-2023</v>
      </c>
      <c r="M620">
        <f>HOUR(Table1[[#This Row],[Time]])</f>
        <v>14</v>
      </c>
    </row>
    <row r="621" spans="1:13" x14ac:dyDescent="0.3">
      <c r="A621">
        <v>1620</v>
      </c>
      <c r="B621" s="3">
        <v>45114.919933275465</v>
      </c>
      <c r="C621" s="1">
        <v>45114.919933275465</v>
      </c>
      <c r="D621" t="s">
        <v>144</v>
      </c>
      <c r="E621" t="s">
        <v>14</v>
      </c>
      <c r="F621" t="s">
        <v>15</v>
      </c>
      <c r="G621" t="s">
        <v>33</v>
      </c>
      <c r="H621">
        <v>4</v>
      </c>
      <c r="I621">
        <v>799</v>
      </c>
      <c r="J621">
        <v>3196</v>
      </c>
      <c r="K621" t="str">
        <f>TEXT(Table1[[#This Row],[Date]],"dddd")</f>
        <v>Friday</v>
      </c>
      <c r="L621" t="str">
        <f>TEXT(Table1[[#This Row],[Date]],"mmm-yyyy")</f>
        <v>Jul-2023</v>
      </c>
      <c r="M621">
        <f>HOUR(Table1[[#This Row],[Time]])</f>
        <v>22</v>
      </c>
    </row>
    <row r="622" spans="1:13" x14ac:dyDescent="0.3">
      <c r="A622">
        <v>1621</v>
      </c>
      <c r="B622" s="3">
        <v>45115.223519594911</v>
      </c>
      <c r="C622" s="1">
        <v>45115.223519594911</v>
      </c>
      <c r="D622" t="s">
        <v>150</v>
      </c>
      <c r="E622" t="s">
        <v>17</v>
      </c>
      <c r="F622" t="s">
        <v>15</v>
      </c>
      <c r="G622" t="s">
        <v>40</v>
      </c>
      <c r="H622">
        <v>5</v>
      </c>
      <c r="I622">
        <v>973</v>
      </c>
      <c r="J622">
        <v>4865</v>
      </c>
      <c r="K622" t="str">
        <f>TEXT(Table1[[#This Row],[Date]],"dddd")</f>
        <v>Saturday</v>
      </c>
      <c r="L622" t="str">
        <f>TEXT(Table1[[#This Row],[Date]],"mmm-yyyy")</f>
        <v>Jul-2023</v>
      </c>
      <c r="M622">
        <f>HOUR(Table1[[#This Row],[Time]])</f>
        <v>5</v>
      </c>
    </row>
    <row r="623" spans="1:13" x14ac:dyDescent="0.3">
      <c r="A623">
        <v>1622</v>
      </c>
      <c r="B623" s="3">
        <v>45115.527105925925</v>
      </c>
      <c r="C623" s="1">
        <v>45115.527105925925</v>
      </c>
      <c r="D623" t="s">
        <v>172</v>
      </c>
      <c r="E623" t="s">
        <v>17</v>
      </c>
      <c r="F623" t="s">
        <v>18</v>
      </c>
      <c r="G623" t="s">
        <v>40</v>
      </c>
      <c r="H623">
        <v>2</v>
      </c>
      <c r="I623">
        <v>113</v>
      </c>
      <c r="J623">
        <v>226</v>
      </c>
      <c r="K623" t="str">
        <f>TEXT(Table1[[#This Row],[Date]],"dddd")</f>
        <v>Saturday</v>
      </c>
      <c r="L623" t="str">
        <f>TEXT(Table1[[#This Row],[Date]],"mmm-yyyy")</f>
        <v>Jul-2023</v>
      </c>
      <c r="M623">
        <f>HOUR(Table1[[#This Row],[Time]])</f>
        <v>12</v>
      </c>
    </row>
    <row r="624" spans="1:13" x14ac:dyDescent="0.3">
      <c r="A624">
        <v>1623</v>
      </c>
      <c r="B624" s="3">
        <v>45115.83069224537</v>
      </c>
      <c r="C624" s="1">
        <v>45115.83069224537</v>
      </c>
      <c r="D624" t="s">
        <v>126</v>
      </c>
      <c r="E624" t="s">
        <v>17</v>
      </c>
      <c r="F624" t="s">
        <v>11</v>
      </c>
      <c r="G624" t="s">
        <v>56</v>
      </c>
      <c r="H624">
        <v>4</v>
      </c>
      <c r="I624">
        <v>111</v>
      </c>
      <c r="J624">
        <v>444</v>
      </c>
      <c r="K624" t="str">
        <f>TEXT(Table1[[#This Row],[Date]],"dddd")</f>
        <v>Saturday</v>
      </c>
      <c r="L624" t="str">
        <f>TEXT(Table1[[#This Row],[Date]],"mmm-yyyy")</f>
        <v>Jul-2023</v>
      </c>
      <c r="M624">
        <f>HOUR(Table1[[#This Row],[Time]])</f>
        <v>19</v>
      </c>
    </row>
    <row r="625" spans="1:13" x14ac:dyDescent="0.3">
      <c r="A625">
        <v>1624</v>
      </c>
      <c r="B625" s="3">
        <v>45116.134278564816</v>
      </c>
      <c r="C625" s="1">
        <v>45116.134278564816</v>
      </c>
      <c r="D625" t="s">
        <v>214</v>
      </c>
      <c r="E625" t="s">
        <v>28</v>
      </c>
      <c r="F625" t="s">
        <v>18</v>
      </c>
      <c r="G625" t="s">
        <v>33</v>
      </c>
      <c r="H625">
        <v>4</v>
      </c>
      <c r="I625">
        <v>186</v>
      </c>
      <c r="J625">
        <v>744</v>
      </c>
      <c r="K625" t="str">
        <f>TEXT(Table1[[#This Row],[Date]],"dddd")</f>
        <v>Sunday</v>
      </c>
      <c r="L625" t="str">
        <f>TEXT(Table1[[#This Row],[Date]],"mmm-yyyy")</f>
        <v>Jul-2023</v>
      </c>
      <c r="M625">
        <f>HOUR(Table1[[#This Row],[Time]])</f>
        <v>3</v>
      </c>
    </row>
    <row r="626" spans="1:13" x14ac:dyDescent="0.3">
      <c r="A626">
        <v>1625</v>
      </c>
      <c r="B626" s="3">
        <v>45116.437864884261</v>
      </c>
      <c r="C626" s="1">
        <v>45116.437864884261</v>
      </c>
      <c r="D626" t="s">
        <v>37</v>
      </c>
      <c r="E626" t="s">
        <v>17</v>
      </c>
      <c r="F626" t="s">
        <v>15</v>
      </c>
      <c r="G626" t="s">
        <v>33</v>
      </c>
      <c r="H626">
        <v>2</v>
      </c>
      <c r="I626">
        <v>623</v>
      </c>
      <c r="J626">
        <v>1246</v>
      </c>
      <c r="K626" t="str">
        <f>TEXT(Table1[[#This Row],[Date]],"dddd")</f>
        <v>Sunday</v>
      </c>
      <c r="L626" t="str">
        <f>TEXT(Table1[[#This Row],[Date]],"mmm-yyyy")</f>
        <v>Jul-2023</v>
      </c>
      <c r="M626">
        <f>HOUR(Table1[[#This Row],[Time]])</f>
        <v>10</v>
      </c>
    </row>
    <row r="627" spans="1:13" x14ac:dyDescent="0.3">
      <c r="A627">
        <v>1626</v>
      </c>
      <c r="B627" s="3">
        <v>45116.741451203707</v>
      </c>
      <c r="C627" s="1">
        <v>45116.741451203707</v>
      </c>
      <c r="D627" t="s">
        <v>259</v>
      </c>
      <c r="E627" t="s">
        <v>10</v>
      </c>
      <c r="F627" t="s">
        <v>39</v>
      </c>
      <c r="G627" t="s">
        <v>42</v>
      </c>
      <c r="H627">
        <v>2</v>
      </c>
      <c r="I627">
        <v>636</v>
      </c>
      <c r="J627">
        <v>1272</v>
      </c>
      <c r="K627" t="str">
        <f>TEXT(Table1[[#This Row],[Date]],"dddd")</f>
        <v>Sunday</v>
      </c>
      <c r="L627" t="str">
        <f>TEXT(Table1[[#This Row],[Date]],"mmm-yyyy")</f>
        <v>Jul-2023</v>
      </c>
      <c r="M627">
        <f>HOUR(Table1[[#This Row],[Time]])</f>
        <v>17</v>
      </c>
    </row>
    <row r="628" spans="1:13" x14ac:dyDescent="0.3">
      <c r="A628">
        <v>1627</v>
      </c>
      <c r="B628" s="3">
        <v>45117.045037534721</v>
      </c>
      <c r="C628" s="1">
        <v>45117.045037534721</v>
      </c>
      <c r="D628" t="s">
        <v>288</v>
      </c>
      <c r="E628" t="s">
        <v>10</v>
      </c>
      <c r="F628" t="s">
        <v>24</v>
      </c>
      <c r="G628" t="s">
        <v>40</v>
      </c>
      <c r="H628">
        <v>4</v>
      </c>
      <c r="I628">
        <v>400</v>
      </c>
      <c r="J628">
        <v>1600</v>
      </c>
      <c r="K628" t="str">
        <f>TEXT(Table1[[#This Row],[Date]],"dddd")</f>
        <v>Monday</v>
      </c>
      <c r="L628" t="str">
        <f>TEXT(Table1[[#This Row],[Date]],"mmm-yyyy")</f>
        <v>Jul-2023</v>
      </c>
      <c r="M628">
        <f>HOUR(Table1[[#This Row],[Time]])</f>
        <v>1</v>
      </c>
    </row>
    <row r="629" spans="1:13" x14ac:dyDescent="0.3">
      <c r="A629">
        <v>1628</v>
      </c>
      <c r="B629" s="3">
        <v>45117.348623854166</v>
      </c>
      <c r="C629" s="1">
        <v>45117.348623854166</v>
      </c>
      <c r="D629" t="s">
        <v>289</v>
      </c>
      <c r="E629" t="s">
        <v>17</v>
      </c>
      <c r="F629" t="s">
        <v>18</v>
      </c>
      <c r="G629" t="s">
        <v>29</v>
      </c>
      <c r="H629">
        <v>2</v>
      </c>
      <c r="I629">
        <v>342</v>
      </c>
      <c r="J629">
        <v>684</v>
      </c>
      <c r="K629" t="str">
        <f>TEXT(Table1[[#This Row],[Date]],"dddd")</f>
        <v>Monday</v>
      </c>
      <c r="L629" t="str">
        <f>TEXT(Table1[[#This Row],[Date]],"mmm-yyyy")</f>
        <v>Jul-2023</v>
      </c>
      <c r="M629">
        <f>HOUR(Table1[[#This Row],[Time]])</f>
        <v>8</v>
      </c>
    </row>
    <row r="630" spans="1:13" x14ac:dyDescent="0.3">
      <c r="A630">
        <v>1629</v>
      </c>
      <c r="B630" s="3">
        <v>45117.652210173612</v>
      </c>
      <c r="C630" s="1">
        <v>45117.652210173612</v>
      </c>
      <c r="D630" t="s">
        <v>190</v>
      </c>
      <c r="E630" t="s">
        <v>17</v>
      </c>
      <c r="F630" t="s">
        <v>24</v>
      </c>
      <c r="G630" t="s">
        <v>29</v>
      </c>
      <c r="H630">
        <v>4</v>
      </c>
      <c r="I630">
        <v>221</v>
      </c>
      <c r="J630">
        <v>884</v>
      </c>
      <c r="K630" t="str">
        <f>TEXT(Table1[[#This Row],[Date]],"dddd")</f>
        <v>Monday</v>
      </c>
      <c r="L630" t="str">
        <f>TEXT(Table1[[#This Row],[Date]],"mmm-yyyy")</f>
        <v>Jul-2023</v>
      </c>
      <c r="M630">
        <f>HOUR(Table1[[#This Row],[Time]])</f>
        <v>15</v>
      </c>
    </row>
    <row r="631" spans="1:13" x14ac:dyDescent="0.3">
      <c r="A631">
        <v>1630</v>
      </c>
      <c r="B631" s="3">
        <v>45117.955796493057</v>
      </c>
      <c r="C631" s="1">
        <v>45117.955796493057</v>
      </c>
      <c r="D631" t="s">
        <v>126</v>
      </c>
      <c r="E631" t="s">
        <v>14</v>
      </c>
      <c r="F631" t="s">
        <v>18</v>
      </c>
      <c r="G631" t="s">
        <v>19</v>
      </c>
      <c r="H631">
        <v>4</v>
      </c>
      <c r="I631">
        <v>246</v>
      </c>
      <c r="J631">
        <v>984</v>
      </c>
      <c r="K631" t="str">
        <f>TEXT(Table1[[#This Row],[Date]],"dddd")</f>
        <v>Monday</v>
      </c>
      <c r="L631" t="str">
        <f>TEXT(Table1[[#This Row],[Date]],"mmm-yyyy")</f>
        <v>Jul-2023</v>
      </c>
      <c r="M631">
        <f>HOUR(Table1[[#This Row],[Time]])</f>
        <v>22</v>
      </c>
    </row>
    <row r="632" spans="1:13" x14ac:dyDescent="0.3">
      <c r="A632">
        <v>1631</v>
      </c>
      <c r="B632" s="3">
        <v>45118.259382824072</v>
      </c>
      <c r="C632" s="1">
        <v>45118.259382824072</v>
      </c>
      <c r="D632" t="s">
        <v>80</v>
      </c>
      <c r="E632" t="s">
        <v>14</v>
      </c>
      <c r="F632" t="s">
        <v>11</v>
      </c>
      <c r="G632" t="s">
        <v>40</v>
      </c>
      <c r="H632">
        <v>5</v>
      </c>
      <c r="I632">
        <v>666</v>
      </c>
      <c r="J632">
        <v>3330</v>
      </c>
      <c r="K632" t="str">
        <f>TEXT(Table1[[#This Row],[Date]],"dddd")</f>
        <v>Tuesday</v>
      </c>
      <c r="L632" t="str">
        <f>TEXT(Table1[[#This Row],[Date]],"mmm-yyyy")</f>
        <v>Jul-2023</v>
      </c>
      <c r="M632">
        <f>HOUR(Table1[[#This Row],[Time]])</f>
        <v>6</v>
      </c>
    </row>
    <row r="633" spans="1:13" x14ac:dyDescent="0.3">
      <c r="A633">
        <v>1632</v>
      </c>
      <c r="B633" s="3">
        <v>45118.562969143517</v>
      </c>
      <c r="C633" s="1">
        <v>45118.562969143517</v>
      </c>
      <c r="D633" t="s">
        <v>156</v>
      </c>
      <c r="E633" t="s">
        <v>28</v>
      </c>
      <c r="F633" t="s">
        <v>24</v>
      </c>
      <c r="G633" t="s">
        <v>29</v>
      </c>
      <c r="H633">
        <v>1</v>
      </c>
      <c r="I633">
        <v>849</v>
      </c>
      <c r="J633">
        <v>849</v>
      </c>
      <c r="K633" t="str">
        <f>TEXT(Table1[[#This Row],[Date]],"dddd")</f>
        <v>Tuesday</v>
      </c>
      <c r="L633" t="str">
        <f>TEXT(Table1[[#This Row],[Date]],"mmm-yyyy")</f>
        <v>Jul-2023</v>
      </c>
      <c r="M633">
        <f>HOUR(Table1[[#This Row],[Time]])</f>
        <v>13</v>
      </c>
    </row>
    <row r="634" spans="1:13" x14ac:dyDescent="0.3">
      <c r="A634">
        <v>1633</v>
      </c>
      <c r="B634" s="3">
        <v>45118.866555462962</v>
      </c>
      <c r="C634" s="1">
        <v>45118.866555462962</v>
      </c>
      <c r="D634" t="s">
        <v>183</v>
      </c>
      <c r="E634" t="s">
        <v>10</v>
      </c>
      <c r="F634" t="s">
        <v>18</v>
      </c>
      <c r="G634" t="s">
        <v>33</v>
      </c>
      <c r="H634">
        <v>4</v>
      </c>
      <c r="I634">
        <v>455</v>
      </c>
      <c r="J634">
        <v>1820</v>
      </c>
      <c r="K634" t="str">
        <f>TEXT(Table1[[#This Row],[Date]],"dddd")</f>
        <v>Tuesday</v>
      </c>
      <c r="L634" t="str">
        <f>TEXT(Table1[[#This Row],[Date]],"mmm-yyyy")</f>
        <v>Jul-2023</v>
      </c>
      <c r="M634">
        <f>HOUR(Table1[[#This Row],[Time]])</f>
        <v>20</v>
      </c>
    </row>
    <row r="635" spans="1:13" x14ac:dyDescent="0.3">
      <c r="A635">
        <v>1634</v>
      </c>
      <c r="B635" s="3">
        <v>45119.170141782408</v>
      </c>
      <c r="C635" s="1">
        <v>45119.170141782408</v>
      </c>
      <c r="D635" t="s">
        <v>197</v>
      </c>
      <c r="E635" t="s">
        <v>10</v>
      </c>
      <c r="F635" t="s">
        <v>15</v>
      </c>
      <c r="G635" t="s">
        <v>19</v>
      </c>
      <c r="H635">
        <v>3</v>
      </c>
      <c r="I635">
        <v>784</v>
      </c>
      <c r="J635">
        <v>2352</v>
      </c>
      <c r="K635" t="str">
        <f>TEXT(Table1[[#This Row],[Date]],"dddd")</f>
        <v>Wednesday</v>
      </c>
      <c r="L635" t="str">
        <f>TEXT(Table1[[#This Row],[Date]],"mmm-yyyy")</f>
        <v>Jul-2023</v>
      </c>
      <c r="M635">
        <f>HOUR(Table1[[#This Row],[Time]])</f>
        <v>4</v>
      </c>
    </row>
    <row r="636" spans="1:13" x14ac:dyDescent="0.3">
      <c r="A636">
        <v>1635</v>
      </c>
      <c r="B636" s="3">
        <v>45119.473728101853</v>
      </c>
      <c r="C636" s="1">
        <v>45119.473728101853</v>
      </c>
      <c r="D636" t="s">
        <v>43</v>
      </c>
      <c r="E636" t="s">
        <v>28</v>
      </c>
      <c r="F636" t="s">
        <v>39</v>
      </c>
      <c r="G636" t="s">
        <v>40</v>
      </c>
      <c r="H636">
        <v>1</v>
      </c>
      <c r="I636">
        <v>832</v>
      </c>
      <c r="J636">
        <v>832</v>
      </c>
      <c r="K636" t="str">
        <f>TEXT(Table1[[#This Row],[Date]],"dddd")</f>
        <v>Wednesday</v>
      </c>
      <c r="L636" t="str">
        <f>TEXT(Table1[[#This Row],[Date]],"mmm-yyyy")</f>
        <v>Jul-2023</v>
      </c>
      <c r="M636">
        <f>HOUR(Table1[[#This Row],[Time]])</f>
        <v>11</v>
      </c>
    </row>
    <row r="637" spans="1:13" x14ac:dyDescent="0.3">
      <c r="A637">
        <v>1636</v>
      </c>
      <c r="B637" s="3">
        <v>45119.777314432868</v>
      </c>
      <c r="C637" s="1">
        <v>45119.777314432868</v>
      </c>
      <c r="D637" t="s">
        <v>156</v>
      </c>
      <c r="E637" t="s">
        <v>17</v>
      </c>
      <c r="F637" t="s">
        <v>15</v>
      </c>
      <c r="G637" t="s">
        <v>56</v>
      </c>
      <c r="H637">
        <v>1</v>
      </c>
      <c r="I637">
        <v>730</v>
      </c>
      <c r="J637">
        <v>730</v>
      </c>
      <c r="K637" t="str">
        <f>TEXT(Table1[[#This Row],[Date]],"dddd")</f>
        <v>Wednesday</v>
      </c>
      <c r="L637" t="str">
        <f>TEXT(Table1[[#This Row],[Date]],"mmm-yyyy")</f>
        <v>Jul-2023</v>
      </c>
      <c r="M637">
        <f>HOUR(Table1[[#This Row],[Time]])</f>
        <v>18</v>
      </c>
    </row>
    <row r="638" spans="1:13" x14ac:dyDescent="0.3">
      <c r="A638">
        <v>1637</v>
      </c>
      <c r="B638" s="3">
        <v>45120.080900752313</v>
      </c>
      <c r="C638" s="1">
        <v>45120.080900752313</v>
      </c>
      <c r="D638" t="s">
        <v>264</v>
      </c>
      <c r="E638" t="s">
        <v>17</v>
      </c>
      <c r="F638" t="s">
        <v>11</v>
      </c>
      <c r="G638" t="s">
        <v>42</v>
      </c>
      <c r="H638">
        <v>1</v>
      </c>
      <c r="I638">
        <v>408</v>
      </c>
      <c r="J638">
        <v>408</v>
      </c>
      <c r="K638" t="str">
        <f>TEXT(Table1[[#This Row],[Date]],"dddd")</f>
        <v>Thursday</v>
      </c>
      <c r="L638" t="str">
        <f>TEXT(Table1[[#This Row],[Date]],"mmm-yyyy")</f>
        <v>Jul-2023</v>
      </c>
      <c r="M638">
        <f>HOUR(Table1[[#This Row],[Time]])</f>
        <v>1</v>
      </c>
    </row>
    <row r="639" spans="1:13" x14ac:dyDescent="0.3">
      <c r="A639">
        <v>1638</v>
      </c>
      <c r="B639" s="3">
        <v>45120.384487071758</v>
      </c>
      <c r="C639" s="1">
        <v>45120.384487071758</v>
      </c>
      <c r="D639" t="s">
        <v>290</v>
      </c>
      <c r="E639" t="s">
        <v>28</v>
      </c>
      <c r="F639" t="s">
        <v>11</v>
      </c>
      <c r="G639" t="s">
        <v>25</v>
      </c>
      <c r="H639">
        <v>5</v>
      </c>
      <c r="I639">
        <v>794</v>
      </c>
      <c r="J639">
        <v>3970</v>
      </c>
      <c r="K639" t="str">
        <f>TEXT(Table1[[#This Row],[Date]],"dddd")</f>
        <v>Thursday</v>
      </c>
      <c r="L639" t="str">
        <f>TEXT(Table1[[#This Row],[Date]],"mmm-yyyy")</f>
        <v>Jul-2023</v>
      </c>
      <c r="M639">
        <f>HOUR(Table1[[#This Row],[Time]])</f>
        <v>9</v>
      </c>
    </row>
    <row r="640" spans="1:13" x14ac:dyDescent="0.3">
      <c r="A640">
        <v>1639</v>
      </c>
      <c r="B640" s="3">
        <v>45120.688073391204</v>
      </c>
      <c r="C640" s="1">
        <v>45120.688073391204</v>
      </c>
      <c r="D640" t="s">
        <v>291</v>
      </c>
      <c r="E640" t="s">
        <v>10</v>
      </c>
      <c r="F640" t="s">
        <v>18</v>
      </c>
      <c r="G640" t="s">
        <v>22</v>
      </c>
      <c r="H640">
        <v>4</v>
      </c>
      <c r="I640">
        <v>387</v>
      </c>
      <c r="J640">
        <v>1548</v>
      </c>
      <c r="K640" t="str">
        <f>TEXT(Table1[[#This Row],[Date]],"dddd")</f>
        <v>Thursday</v>
      </c>
      <c r="L640" t="str">
        <f>TEXT(Table1[[#This Row],[Date]],"mmm-yyyy")</f>
        <v>Jul-2023</v>
      </c>
      <c r="M640">
        <f>HOUR(Table1[[#This Row],[Time]])</f>
        <v>16</v>
      </c>
    </row>
    <row r="641" spans="1:13" x14ac:dyDescent="0.3">
      <c r="A641">
        <v>1640</v>
      </c>
      <c r="B641" s="3">
        <v>45120.991659710649</v>
      </c>
      <c r="C641" s="1">
        <v>45120.991659710649</v>
      </c>
      <c r="D641" t="s">
        <v>45</v>
      </c>
      <c r="E641" t="s">
        <v>10</v>
      </c>
      <c r="F641" t="s">
        <v>15</v>
      </c>
      <c r="G641" t="s">
        <v>42</v>
      </c>
      <c r="H641">
        <v>5</v>
      </c>
      <c r="I641">
        <v>406</v>
      </c>
      <c r="J641">
        <v>2030</v>
      </c>
      <c r="K641" t="str">
        <f>TEXT(Table1[[#This Row],[Date]],"dddd")</f>
        <v>Thursday</v>
      </c>
      <c r="L641" t="str">
        <f>TEXT(Table1[[#This Row],[Date]],"mmm-yyyy")</f>
        <v>Jul-2023</v>
      </c>
      <c r="M641">
        <f>HOUR(Table1[[#This Row],[Time]])</f>
        <v>23</v>
      </c>
    </row>
    <row r="642" spans="1:13" x14ac:dyDescent="0.3">
      <c r="A642">
        <v>1641</v>
      </c>
      <c r="B642" s="3">
        <v>45121.295246041664</v>
      </c>
      <c r="C642" s="1">
        <v>45121.295246041664</v>
      </c>
      <c r="D642" t="s">
        <v>186</v>
      </c>
      <c r="E642" t="s">
        <v>17</v>
      </c>
      <c r="F642" t="s">
        <v>24</v>
      </c>
      <c r="G642" t="s">
        <v>40</v>
      </c>
      <c r="H642">
        <v>4</v>
      </c>
      <c r="I642">
        <v>911</v>
      </c>
      <c r="J642">
        <v>3644</v>
      </c>
      <c r="K642" t="str">
        <f>TEXT(Table1[[#This Row],[Date]],"dddd")</f>
        <v>Friday</v>
      </c>
      <c r="L642" t="str">
        <f>TEXT(Table1[[#This Row],[Date]],"mmm-yyyy")</f>
        <v>Jul-2023</v>
      </c>
      <c r="M642">
        <f>HOUR(Table1[[#This Row],[Time]])</f>
        <v>7</v>
      </c>
    </row>
    <row r="643" spans="1:13" x14ac:dyDescent="0.3">
      <c r="A643">
        <v>1642</v>
      </c>
      <c r="B643" s="3">
        <v>45121.598832361109</v>
      </c>
      <c r="C643" s="1">
        <v>45121.598832361109</v>
      </c>
      <c r="D643" t="s">
        <v>173</v>
      </c>
      <c r="E643" t="s">
        <v>14</v>
      </c>
      <c r="F643" t="s">
        <v>18</v>
      </c>
      <c r="G643" t="s">
        <v>40</v>
      </c>
      <c r="H643">
        <v>5</v>
      </c>
      <c r="I643">
        <v>693</v>
      </c>
      <c r="J643">
        <v>3465</v>
      </c>
      <c r="K643" t="str">
        <f>TEXT(Table1[[#This Row],[Date]],"dddd")</f>
        <v>Friday</v>
      </c>
      <c r="L643" t="str">
        <f>TEXT(Table1[[#This Row],[Date]],"mmm-yyyy")</f>
        <v>Jul-2023</v>
      </c>
      <c r="M643">
        <f>HOUR(Table1[[#This Row],[Time]])</f>
        <v>14</v>
      </c>
    </row>
    <row r="644" spans="1:13" x14ac:dyDescent="0.3">
      <c r="A644">
        <v>1643</v>
      </c>
      <c r="B644" s="3">
        <v>45121.902418680555</v>
      </c>
      <c r="C644" s="1">
        <v>45121.902418680555</v>
      </c>
      <c r="D644" t="s">
        <v>26</v>
      </c>
      <c r="E644" t="s">
        <v>28</v>
      </c>
      <c r="F644" t="s">
        <v>18</v>
      </c>
      <c r="G644" t="s">
        <v>42</v>
      </c>
      <c r="H644">
        <v>5</v>
      </c>
      <c r="I644">
        <v>822</v>
      </c>
      <c r="J644">
        <v>4110</v>
      </c>
      <c r="K644" t="str">
        <f>TEXT(Table1[[#This Row],[Date]],"dddd")</f>
        <v>Friday</v>
      </c>
      <c r="L644" t="str">
        <f>TEXT(Table1[[#This Row],[Date]],"mmm-yyyy")</f>
        <v>Jul-2023</v>
      </c>
      <c r="M644">
        <f>HOUR(Table1[[#This Row],[Time]])</f>
        <v>21</v>
      </c>
    </row>
    <row r="645" spans="1:13" x14ac:dyDescent="0.3">
      <c r="A645">
        <v>1644</v>
      </c>
      <c r="B645" s="3">
        <v>45122.206005</v>
      </c>
      <c r="C645" s="1">
        <v>45122.206005</v>
      </c>
      <c r="D645" t="s">
        <v>218</v>
      </c>
      <c r="E645" t="s">
        <v>28</v>
      </c>
      <c r="F645" t="s">
        <v>15</v>
      </c>
      <c r="G645" t="s">
        <v>56</v>
      </c>
      <c r="H645">
        <v>3</v>
      </c>
      <c r="I645">
        <v>761</v>
      </c>
      <c r="J645">
        <v>2283</v>
      </c>
      <c r="K645" t="str">
        <f>TEXT(Table1[[#This Row],[Date]],"dddd")</f>
        <v>Saturday</v>
      </c>
      <c r="L645" t="str">
        <f>TEXT(Table1[[#This Row],[Date]],"mmm-yyyy")</f>
        <v>Jul-2023</v>
      </c>
      <c r="M645">
        <f>HOUR(Table1[[#This Row],[Time]])</f>
        <v>4</v>
      </c>
    </row>
    <row r="646" spans="1:13" x14ac:dyDescent="0.3">
      <c r="A646">
        <v>1645</v>
      </c>
      <c r="B646" s="3">
        <v>45122.509591331022</v>
      </c>
      <c r="C646" s="1">
        <v>45122.509591331022</v>
      </c>
      <c r="D646" t="s">
        <v>160</v>
      </c>
      <c r="E646" t="s">
        <v>17</v>
      </c>
      <c r="F646" t="s">
        <v>39</v>
      </c>
      <c r="G646" t="s">
        <v>12</v>
      </c>
      <c r="H646">
        <v>5</v>
      </c>
      <c r="I646">
        <v>648</v>
      </c>
      <c r="J646">
        <v>3240</v>
      </c>
      <c r="K646" t="str">
        <f>TEXT(Table1[[#This Row],[Date]],"dddd")</f>
        <v>Saturday</v>
      </c>
      <c r="L646" t="str">
        <f>TEXT(Table1[[#This Row],[Date]],"mmm-yyyy")</f>
        <v>Jul-2023</v>
      </c>
      <c r="M646">
        <f>HOUR(Table1[[#This Row],[Time]])</f>
        <v>12</v>
      </c>
    </row>
    <row r="647" spans="1:13" x14ac:dyDescent="0.3">
      <c r="A647">
        <v>1646</v>
      </c>
      <c r="B647" s="3">
        <v>45122.81317765046</v>
      </c>
      <c r="C647" s="1">
        <v>45122.81317765046</v>
      </c>
      <c r="D647" t="s">
        <v>207</v>
      </c>
      <c r="E647" t="s">
        <v>28</v>
      </c>
      <c r="F647" t="s">
        <v>11</v>
      </c>
      <c r="G647" t="s">
        <v>33</v>
      </c>
      <c r="H647">
        <v>2</v>
      </c>
      <c r="I647">
        <v>451</v>
      </c>
      <c r="J647">
        <v>902</v>
      </c>
      <c r="K647" t="str">
        <f>TEXT(Table1[[#This Row],[Date]],"dddd")</f>
        <v>Saturday</v>
      </c>
      <c r="L647" t="str">
        <f>TEXT(Table1[[#This Row],[Date]],"mmm-yyyy")</f>
        <v>Jul-2023</v>
      </c>
      <c r="M647">
        <f>HOUR(Table1[[#This Row],[Time]])</f>
        <v>19</v>
      </c>
    </row>
    <row r="648" spans="1:13" x14ac:dyDescent="0.3">
      <c r="A648">
        <v>1647</v>
      </c>
      <c r="B648" s="3">
        <v>45123.116763969905</v>
      </c>
      <c r="C648" s="1">
        <v>45123.116763969905</v>
      </c>
      <c r="D648" t="s">
        <v>233</v>
      </c>
      <c r="E648" t="s">
        <v>10</v>
      </c>
      <c r="F648" t="s">
        <v>24</v>
      </c>
      <c r="G648" t="s">
        <v>40</v>
      </c>
      <c r="H648">
        <v>3</v>
      </c>
      <c r="I648">
        <v>411</v>
      </c>
      <c r="J648">
        <v>1233</v>
      </c>
      <c r="K648" t="str">
        <f>TEXT(Table1[[#This Row],[Date]],"dddd")</f>
        <v>Sunday</v>
      </c>
      <c r="L648" t="str">
        <f>TEXT(Table1[[#This Row],[Date]],"mmm-yyyy")</f>
        <v>Jul-2023</v>
      </c>
      <c r="M648">
        <f>HOUR(Table1[[#This Row],[Time]])</f>
        <v>2</v>
      </c>
    </row>
    <row r="649" spans="1:13" x14ac:dyDescent="0.3">
      <c r="A649">
        <v>1648</v>
      </c>
      <c r="B649" s="3">
        <v>45123.420350289351</v>
      </c>
      <c r="C649" s="1">
        <v>45123.420350289351</v>
      </c>
      <c r="D649" t="s">
        <v>292</v>
      </c>
      <c r="E649" t="s">
        <v>17</v>
      </c>
      <c r="F649" t="s">
        <v>11</v>
      </c>
      <c r="G649" t="s">
        <v>35</v>
      </c>
      <c r="H649">
        <v>5</v>
      </c>
      <c r="I649">
        <v>972</v>
      </c>
      <c r="J649">
        <v>4860</v>
      </c>
      <c r="K649" t="str">
        <f>TEXT(Table1[[#This Row],[Date]],"dddd")</f>
        <v>Sunday</v>
      </c>
      <c r="L649" t="str">
        <f>TEXT(Table1[[#This Row],[Date]],"mmm-yyyy")</f>
        <v>Jul-2023</v>
      </c>
      <c r="M649">
        <f>HOUR(Table1[[#This Row],[Time]])</f>
        <v>10</v>
      </c>
    </row>
    <row r="650" spans="1:13" x14ac:dyDescent="0.3">
      <c r="A650">
        <v>1649</v>
      </c>
      <c r="B650" s="3">
        <v>45123.723936608796</v>
      </c>
      <c r="C650" s="1">
        <v>45123.723936608796</v>
      </c>
      <c r="D650" t="s">
        <v>149</v>
      </c>
      <c r="E650" t="s">
        <v>10</v>
      </c>
      <c r="F650" t="s">
        <v>18</v>
      </c>
      <c r="G650" t="s">
        <v>29</v>
      </c>
      <c r="H650">
        <v>1</v>
      </c>
      <c r="I650">
        <v>158</v>
      </c>
      <c r="J650">
        <v>158</v>
      </c>
      <c r="K650" t="str">
        <f>TEXT(Table1[[#This Row],[Date]],"dddd")</f>
        <v>Sunday</v>
      </c>
      <c r="L650" t="str">
        <f>TEXT(Table1[[#This Row],[Date]],"mmm-yyyy")</f>
        <v>Jul-2023</v>
      </c>
      <c r="M650">
        <f>HOUR(Table1[[#This Row],[Time]])</f>
        <v>17</v>
      </c>
    </row>
    <row r="651" spans="1:13" x14ac:dyDescent="0.3">
      <c r="A651">
        <v>1650</v>
      </c>
      <c r="B651" s="3">
        <v>45124.027522939818</v>
      </c>
      <c r="C651" s="1">
        <v>45124.027522939818</v>
      </c>
      <c r="D651" t="s">
        <v>108</v>
      </c>
      <c r="E651" t="s">
        <v>14</v>
      </c>
      <c r="F651" t="s">
        <v>39</v>
      </c>
      <c r="G651" t="s">
        <v>12</v>
      </c>
      <c r="H651">
        <v>2</v>
      </c>
      <c r="I651">
        <v>742</v>
      </c>
      <c r="J651">
        <v>1484</v>
      </c>
      <c r="K651" t="str">
        <f>TEXT(Table1[[#This Row],[Date]],"dddd")</f>
        <v>Monday</v>
      </c>
      <c r="L651" t="str">
        <f>TEXT(Table1[[#This Row],[Date]],"mmm-yyyy")</f>
        <v>Jul-2023</v>
      </c>
      <c r="M651">
        <f>HOUR(Table1[[#This Row],[Time]])</f>
        <v>0</v>
      </c>
    </row>
    <row r="652" spans="1:13" x14ac:dyDescent="0.3">
      <c r="A652">
        <v>1651</v>
      </c>
      <c r="B652" s="3">
        <v>45124.331109259256</v>
      </c>
      <c r="C652" s="1">
        <v>45124.331109259256</v>
      </c>
      <c r="D652" t="s">
        <v>81</v>
      </c>
      <c r="E652" t="s">
        <v>28</v>
      </c>
      <c r="F652" t="s">
        <v>18</v>
      </c>
      <c r="G652" t="s">
        <v>19</v>
      </c>
      <c r="H652">
        <v>2</v>
      </c>
      <c r="I652">
        <v>813</v>
      </c>
      <c r="J652">
        <v>1626</v>
      </c>
      <c r="K652" t="str">
        <f>TEXT(Table1[[#This Row],[Date]],"dddd")</f>
        <v>Monday</v>
      </c>
      <c r="L652" t="str">
        <f>TEXT(Table1[[#This Row],[Date]],"mmm-yyyy")</f>
        <v>Jul-2023</v>
      </c>
      <c r="M652">
        <f>HOUR(Table1[[#This Row],[Time]])</f>
        <v>7</v>
      </c>
    </row>
    <row r="653" spans="1:13" x14ac:dyDescent="0.3">
      <c r="A653">
        <v>1652</v>
      </c>
      <c r="B653" s="3">
        <v>45124.634695578701</v>
      </c>
      <c r="C653" s="1">
        <v>45124.634695578701</v>
      </c>
      <c r="D653" t="s">
        <v>73</v>
      </c>
      <c r="E653" t="s">
        <v>28</v>
      </c>
      <c r="F653" t="s">
        <v>39</v>
      </c>
      <c r="G653" t="s">
        <v>19</v>
      </c>
      <c r="H653">
        <v>2</v>
      </c>
      <c r="I653">
        <v>854</v>
      </c>
      <c r="J653">
        <v>1708</v>
      </c>
      <c r="K653" t="str">
        <f>TEXT(Table1[[#This Row],[Date]],"dddd")</f>
        <v>Monday</v>
      </c>
      <c r="L653" t="str">
        <f>TEXT(Table1[[#This Row],[Date]],"mmm-yyyy")</f>
        <v>Jul-2023</v>
      </c>
      <c r="M653">
        <f>HOUR(Table1[[#This Row],[Time]])</f>
        <v>15</v>
      </c>
    </row>
    <row r="654" spans="1:13" x14ac:dyDescent="0.3">
      <c r="A654">
        <v>1653</v>
      </c>
      <c r="B654" s="3">
        <v>45124.938281898147</v>
      </c>
      <c r="C654" s="1">
        <v>45124.938281898147</v>
      </c>
      <c r="D654" t="s">
        <v>132</v>
      </c>
      <c r="E654" t="s">
        <v>10</v>
      </c>
      <c r="F654" t="s">
        <v>15</v>
      </c>
      <c r="G654" t="s">
        <v>25</v>
      </c>
      <c r="H654">
        <v>3</v>
      </c>
      <c r="I654">
        <v>134</v>
      </c>
      <c r="J654">
        <v>402</v>
      </c>
      <c r="K654" t="str">
        <f>TEXT(Table1[[#This Row],[Date]],"dddd")</f>
        <v>Monday</v>
      </c>
      <c r="L654" t="str">
        <f>TEXT(Table1[[#This Row],[Date]],"mmm-yyyy")</f>
        <v>Jul-2023</v>
      </c>
      <c r="M654">
        <f>HOUR(Table1[[#This Row],[Time]])</f>
        <v>22</v>
      </c>
    </row>
    <row r="655" spans="1:13" x14ac:dyDescent="0.3">
      <c r="A655">
        <v>1654</v>
      </c>
      <c r="B655" s="3">
        <v>45125.241868229168</v>
      </c>
      <c r="C655" s="1">
        <v>45125.241868229168</v>
      </c>
      <c r="D655" t="s">
        <v>52</v>
      </c>
      <c r="E655" t="s">
        <v>17</v>
      </c>
      <c r="F655" t="s">
        <v>11</v>
      </c>
      <c r="G655" t="s">
        <v>19</v>
      </c>
      <c r="H655">
        <v>5</v>
      </c>
      <c r="I655">
        <v>544</v>
      </c>
      <c r="J655">
        <v>2720</v>
      </c>
      <c r="K655" t="str">
        <f>TEXT(Table1[[#This Row],[Date]],"dddd")</f>
        <v>Tuesday</v>
      </c>
      <c r="L655" t="str">
        <f>TEXT(Table1[[#This Row],[Date]],"mmm-yyyy")</f>
        <v>Jul-2023</v>
      </c>
      <c r="M655">
        <f>HOUR(Table1[[#This Row],[Time]])</f>
        <v>5</v>
      </c>
    </row>
    <row r="656" spans="1:13" x14ac:dyDescent="0.3">
      <c r="A656">
        <v>1655</v>
      </c>
      <c r="B656" s="3">
        <v>45125.545454548614</v>
      </c>
      <c r="C656" s="1">
        <v>45125.545454548614</v>
      </c>
      <c r="D656" t="s">
        <v>293</v>
      </c>
      <c r="E656" t="s">
        <v>17</v>
      </c>
      <c r="F656" t="s">
        <v>18</v>
      </c>
      <c r="G656" t="s">
        <v>19</v>
      </c>
      <c r="H656">
        <v>5</v>
      </c>
      <c r="I656">
        <v>192</v>
      </c>
      <c r="J656">
        <v>960</v>
      </c>
      <c r="K656" t="str">
        <f>TEXT(Table1[[#This Row],[Date]],"dddd")</f>
        <v>Tuesday</v>
      </c>
      <c r="L656" t="str">
        <f>TEXT(Table1[[#This Row],[Date]],"mmm-yyyy")</f>
        <v>Jul-2023</v>
      </c>
      <c r="M656">
        <f>HOUR(Table1[[#This Row],[Time]])</f>
        <v>13</v>
      </c>
    </row>
    <row r="657" spans="1:13" x14ac:dyDescent="0.3">
      <c r="A657">
        <v>1656</v>
      </c>
      <c r="B657" s="3">
        <v>45125.849040868059</v>
      </c>
      <c r="C657" s="1">
        <v>45125.849040868059</v>
      </c>
      <c r="D657" t="s">
        <v>253</v>
      </c>
      <c r="E657" t="s">
        <v>28</v>
      </c>
      <c r="F657" t="s">
        <v>39</v>
      </c>
      <c r="G657" t="s">
        <v>22</v>
      </c>
      <c r="H657">
        <v>1</v>
      </c>
      <c r="I657">
        <v>306</v>
      </c>
      <c r="J657">
        <v>306</v>
      </c>
      <c r="K657" t="str">
        <f>TEXT(Table1[[#This Row],[Date]],"dddd")</f>
        <v>Tuesday</v>
      </c>
      <c r="L657" t="str">
        <f>TEXT(Table1[[#This Row],[Date]],"mmm-yyyy")</f>
        <v>Jul-2023</v>
      </c>
      <c r="M657">
        <f>HOUR(Table1[[#This Row],[Time]])</f>
        <v>20</v>
      </c>
    </row>
    <row r="658" spans="1:13" x14ac:dyDescent="0.3">
      <c r="A658">
        <v>1657</v>
      </c>
      <c r="B658" s="3">
        <v>45126.152627187497</v>
      </c>
      <c r="C658" s="1">
        <v>45126.152627187497</v>
      </c>
      <c r="D658" t="s">
        <v>141</v>
      </c>
      <c r="E658" t="s">
        <v>10</v>
      </c>
      <c r="F658" t="s">
        <v>39</v>
      </c>
      <c r="G658" t="s">
        <v>42</v>
      </c>
      <c r="H658">
        <v>1</v>
      </c>
      <c r="I658">
        <v>452</v>
      </c>
      <c r="J658">
        <v>452</v>
      </c>
      <c r="K658" t="str">
        <f>TEXT(Table1[[#This Row],[Date]],"dddd")</f>
        <v>Wednesday</v>
      </c>
      <c r="L658" t="str">
        <f>TEXT(Table1[[#This Row],[Date]],"mmm-yyyy")</f>
        <v>Jul-2023</v>
      </c>
      <c r="M658">
        <f>HOUR(Table1[[#This Row],[Time]])</f>
        <v>3</v>
      </c>
    </row>
    <row r="659" spans="1:13" x14ac:dyDescent="0.3">
      <c r="A659">
        <v>1658</v>
      </c>
      <c r="B659" s="3">
        <v>45126.456213506943</v>
      </c>
      <c r="C659" s="1">
        <v>45126.456213506943</v>
      </c>
      <c r="D659" t="s">
        <v>133</v>
      </c>
      <c r="E659" t="s">
        <v>14</v>
      </c>
      <c r="F659" t="s">
        <v>18</v>
      </c>
      <c r="G659" t="s">
        <v>19</v>
      </c>
      <c r="H659">
        <v>2</v>
      </c>
      <c r="I659">
        <v>431</v>
      </c>
      <c r="J659">
        <v>862</v>
      </c>
      <c r="K659" t="str">
        <f>TEXT(Table1[[#This Row],[Date]],"dddd")</f>
        <v>Wednesday</v>
      </c>
      <c r="L659" t="str">
        <f>TEXT(Table1[[#This Row],[Date]],"mmm-yyyy")</f>
        <v>Jul-2023</v>
      </c>
      <c r="M659">
        <f>HOUR(Table1[[#This Row],[Time]])</f>
        <v>10</v>
      </c>
    </row>
    <row r="660" spans="1:13" x14ac:dyDescent="0.3">
      <c r="A660">
        <v>1659</v>
      </c>
      <c r="B660" s="3">
        <v>45126.759799837964</v>
      </c>
      <c r="C660" s="1">
        <v>45126.759799837964</v>
      </c>
      <c r="D660" t="s">
        <v>294</v>
      </c>
      <c r="E660" t="s">
        <v>10</v>
      </c>
      <c r="F660" t="s">
        <v>11</v>
      </c>
      <c r="G660" t="s">
        <v>40</v>
      </c>
      <c r="H660">
        <v>1</v>
      </c>
      <c r="I660">
        <v>916</v>
      </c>
      <c r="J660">
        <v>916</v>
      </c>
      <c r="K660" t="str">
        <f>TEXT(Table1[[#This Row],[Date]],"dddd")</f>
        <v>Wednesday</v>
      </c>
      <c r="L660" t="str">
        <f>TEXT(Table1[[#This Row],[Date]],"mmm-yyyy")</f>
        <v>Jul-2023</v>
      </c>
      <c r="M660">
        <f>HOUR(Table1[[#This Row],[Time]])</f>
        <v>18</v>
      </c>
    </row>
    <row r="661" spans="1:13" x14ac:dyDescent="0.3">
      <c r="A661">
        <v>1660</v>
      </c>
      <c r="B661" s="3">
        <v>45127.06338615741</v>
      </c>
      <c r="C661" s="1">
        <v>45127.06338615741</v>
      </c>
      <c r="D661" t="s">
        <v>70</v>
      </c>
      <c r="E661" t="s">
        <v>17</v>
      </c>
      <c r="F661" t="s">
        <v>15</v>
      </c>
      <c r="G661" t="s">
        <v>33</v>
      </c>
      <c r="H661">
        <v>3</v>
      </c>
      <c r="I661">
        <v>961</v>
      </c>
      <c r="J661">
        <v>2883</v>
      </c>
      <c r="K661" t="str">
        <f>TEXT(Table1[[#This Row],[Date]],"dddd")</f>
        <v>Thursday</v>
      </c>
      <c r="L661" t="str">
        <f>TEXT(Table1[[#This Row],[Date]],"mmm-yyyy")</f>
        <v>Jul-2023</v>
      </c>
      <c r="M661">
        <f>HOUR(Table1[[#This Row],[Time]])</f>
        <v>1</v>
      </c>
    </row>
    <row r="662" spans="1:13" x14ac:dyDescent="0.3">
      <c r="A662">
        <v>1661</v>
      </c>
      <c r="B662" s="3">
        <v>45127.366972476855</v>
      </c>
      <c r="C662" s="1">
        <v>45127.366972476855</v>
      </c>
      <c r="D662" t="s">
        <v>63</v>
      </c>
      <c r="E662" t="s">
        <v>28</v>
      </c>
      <c r="F662" t="s">
        <v>15</v>
      </c>
      <c r="G662" t="s">
        <v>42</v>
      </c>
      <c r="H662">
        <v>5</v>
      </c>
      <c r="I662">
        <v>824</v>
      </c>
      <c r="J662">
        <v>4120</v>
      </c>
      <c r="K662" t="str">
        <f>TEXT(Table1[[#This Row],[Date]],"dddd")</f>
        <v>Thursday</v>
      </c>
      <c r="L662" t="str">
        <f>TEXT(Table1[[#This Row],[Date]],"mmm-yyyy")</f>
        <v>Jul-2023</v>
      </c>
      <c r="M662">
        <f>HOUR(Table1[[#This Row],[Time]])</f>
        <v>8</v>
      </c>
    </row>
    <row r="663" spans="1:13" x14ac:dyDescent="0.3">
      <c r="A663">
        <v>1662</v>
      </c>
      <c r="B663" s="3">
        <v>45127.670558796293</v>
      </c>
      <c r="C663" s="1">
        <v>45127.670558796293</v>
      </c>
      <c r="D663" t="s">
        <v>117</v>
      </c>
      <c r="E663" t="s">
        <v>28</v>
      </c>
      <c r="F663" t="s">
        <v>24</v>
      </c>
      <c r="G663" t="s">
        <v>35</v>
      </c>
      <c r="H663">
        <v>2</v>
      </c>
      <c r="I663">
        <v>258</v>
      </c>
      <c r="J663">
        <v>516</v>
      </c>
      <c r="K663" t="str">
        <f>TEXT(Table1[[#This Row],[Date]],"dddd")</f>
        <v>Thursday</v>
      </c>
      <c r="L663" t="str">
        <f>TEXT(Table1[[#This Row],[Date]],"mmm-yyyy")</f>
        <v>Jul-2023</v>
      </c>
      <c r="M663">
        <f>HOUR(Table1[[#This Row],[Time]])</f>
        <v>16</v>
      </c>
    </row>
    <row r="664" spans="1:13" x14ac:dyDescent="0.3">
      <c r="A664">
        <v>1663</v>
      </c>
      <c r="B664" s="3">
        <v>45127.974145115739</v>
      </c>
      <c r="C664" s="1">
        <v>45127.974145115739</v>
      </c>
      <c r="D664" t="s">
        <v>127</v>
      </c>
      <c r="E664" t="s">
        <v>28</v>
      </c>
      <c r="F664" t="s">
        <v>24</v>
      </c>
      <c r="G664" t="s">
        <v>40</v>
      </c>
      <c r="H664">
        <v>1</v>
      </c>
      <c r="I664">
        <v>123</v>
      </c>
      <c r="J664">
        <v>123</v>
      </c>
      <c r="K664" t="str">
        <f>TEXT(Table1[[#This Row],[Date]],"dddd")</f>
        <v>Thursday</v>
      </c>
      <c r="L664" t="str">
        <f>TEXT(Table1[[#This Row],[Date]],"mmm-yyyy")</f>
        <v>Jul-2023</v>
      </c>
      <c r="M664">
        <f>HOUR(Table1[[#This Row],[Time]])</f>
        <v>23</v>
      </c>
    </row>
    <row r="665" spans="1:13" x14ac:dyDescent="0.3">
      <c r="A665">
        <v>1664</v>
      </c>
      <c r="B665" s="3">
        <v>45128.27773144676</v>
      </c>
      <c r="C665" s="1">
        <v>45128.27773144676</v>
      </c>
      <c r="D665" t="s">
        <v>235</v>
      </c>
      <c r="E665" t="s">
        <v>14</v>
      </c>
      <c r="F665" t="s">
        <v>24</v>
      </c>
      <c r="G665" t="s">
        <v>35</v>
      </c>
      <c r="H665">
        <v>3</v>
      </c>
      <c r="I665">
        <v>503</v>
      </c>
      <c r="J665">
        <v>1509</v>
      </c>
      <c r="K665" t="str">
        <f>TEXT(Table1[[#This Row],[Date]],"dddd")</f>
        <v>Friday</v>
      </c>
      <c r="L665" t="str">
        <f>TEXT(Table1[[#This Row],[Date]],"mmm-yyyy")</f>
        <v>Jul-2023</v>
      </c>
      <c r="M665">
        <f>HOUR(Table1[[#This Row],[Time]])</f>
        <v>6</v>
      </c>
    </row>
    <row r="666" spans="1:13" x14ac:dyDescent="0.3">
      <c r="A666">
        <v>1665</v>
      </c>
      <c r="B666" s="3">
        <v>45128.581317766206</v>
      </c>
      <c r="C666" s="1">
        <v>45128.581317766206</v>
      </c>
      <c r="D666" t="s">
        <v>208</v>
      </c>
      <c r="E666" t="s">
        <v>14</v>
      </c>
      <c r="F666" t="s">
        <v>11</v>
      </c>
      <c r="G666" t="s">
        <v>42</v>
      </c>
      <c r="H666">
        <v>3</v>
      </c>
      <c r="I666">
        <v>904</v>
      </c>
      <c r="J666">
        <v>2712</v>
      </c>
      <c r="K666" t="str">
        <f>TEXT(Table1[[#This Row],[Date]],"dddd")</f>
        <v>Friday</v>
      </c>
      <c r="L666" t="str">
        <f>TEXT(Table1[[#This Row],[Date]],"mmm-yyyy")</f>
        <v>Jul-2023</v>
      </c>
      <c r="M666">
        <f>HOUR(Table1[[#This Row],[Time]])</f>
        <v>13</v>
      </c>
    </row>
    <row r="667" spans="1:13" x14ac:dyDescent="0.3">
      <c r="A667">
        <v>1666</v>
      </c>
      <c r="B667" s="3">
        <v>45128.884904085651</v>
      </c>
      <c r="C667" s="1">
        <v>45128.884904085651</v>
      </c>
      <c r="D667" t="s">
        <v>89</v>
      </c>
      <c r="E667" t="s">
        <v>17</v>
      </c>
      <c r="F667" t="s">
        <v>24</v>
      </c>
      <c r="G667" t="s">
        <v>40</v>
      </c>
      <c r="H667">
        <v>1</v>
      </c>
      <c r="I667">
        <v>615</v>
      </c>
      <c r="J667">
        <v>615</v>
      </c>
      <c r="K667" t="str">
        <f>TEXT(Table1[[#This Row],[Date]],"dddd")</f>
        <v>Friday</v>
      </c>
      <c r="L667" t="str">
        <f>TEXT(Table1[[#This Row],[Date]],"mmm-yyyy")</f>
        <v>Jul-2023</v>
      </c>
      <c r="M667">
        <f>HOUR(Table1[[#This Row],[Time]])</f>
        <v>21</v>
      </c>
    </row>
    <row r="668" spans="1:13" x14ac:dyDescent="0.3">
      <c r="A668">
        <v>1667</v>
      </c>
      <c r="B668" s="3">
        <v>45129.188490405089</v>
      </c>
      <c r="C668" s="1">
        <v>45129.188490405089</v>
      </c>
      <c r="D668" t="s">
        <v>105</v>
      </c>
      <c r="E668" t="s">
        <v>10</v>
      </c>
      <c r="F668" t="s">
        <v>24</v>
      </c>
      <c r="G668" t="s">
        <v>22</v>
      </c>
      <c r="H668">
        <v>5</v>
      </c>
      <c r="I668">
        <v>831</v>
      </c>
      <c r="J668">
        <v>4155</v>
      </c>
      <c r="K668" t="str">
        <f>TEXT(Table1[[#This Row],[Date]],"dddd")</f>
        <v>Saturday</v>
      </c>
      <c r="L668" t="str">
        <f>TEXT(Table1[[#This Row],[Date]],"mmm-yyyy")</f>
        <v>Jul-2023</v>
      </c>
      <c r="M668">
        <f>HOUR(Table1[[#This Row],[Time]])</f>
        <v>4</v>
      </c>
    </row>
    <row r="669" spans="1:13" x14ac:dyDescent="0.3">
      <c r="A669">
        <v>1668</v>
      </c>
      <c r="B669" s="3">
        <v>45129.492076736111</v>
      </c>
      <c r="C669" s="1">
        <v>45129.492076736111</v>
      </c>
      <c r="D669" t="s">
        <v>295</v>
      </c>
      <c r="E669" t="s">
        <v>10</v>
      </c>
      <c r="F669" t="s">
        <v>11</v>
      </c>
      <c r="G669" t="s">
        <v>33</v>
      </c>
      <c r="H669">
        <v>1</v>
      </c>
      <c r="I669">
        <v>463</v>
      </c>
      <c r="J669">
        <v>463</v>
      </c>
      <c r="K669" t="str">
        <f>TEXT(Table1[[#This Row],[Date]],"dddd")</f>
        <v>Saturday</v>
      </c>
      <c r="L669" t="str">
        <f>TEXT(Table1[[#This Row],[Date]],"mmm-yyyy")</f>
        <v>Jul-2023</v>
      </c>
      <c r="M669">
        <f>HOUR(Table1[[#This Row],[Time]])</f>
        <v>11</v>
      </c>
    </row>
    <row r="670" spans="1:13" x14ac:dyDescent="0.3">
      <c r="A670">
        <v>1669</v>
      </c>
      <c r="B670" s="3">
        <v>45129.795663055556</v>
      </c>
      <c r="C670" s="1">
        <v>45129.795663055556</v>
      </c>
      <c r="D670" t="s">
        <v>259</v>
      </c>
      <c r="E670" t="s">
        <v>10</v>
      </c>
      <c r="F670" t="s">
        <v>24</v>
      </c>
      <c r="G670" t="s">
        <v>40</v>
      </c>
      <c r="H670">
        <v>2</v>
      </c>
      <c r="I670">
        <v>481</v>
      </c>
      <c r="J670">
        <v>962</v>
      </c>
      <c r="K670" t="str">
        <f>TEXT(Table1[[#This Row],[Date]],"dddd")</f>
        <v>Saturday</v>
      </c>
      <c r="L670" t="str">
        <f>TEXT(Table1[[#This Row],[Date]],"mmm-yyyy")</f>
        <v>Jul-2023</v>
      </c>
      <c r="M670">
        <f>HOUR(Table1[[#This Row],[Time]])</f>
        <v>19</v>
      </c>
    </row>
    <row r="671" spans="1:13" x14ac:dyDescent="0.3">
      <c r="A671">
        <v>1670</v>
      </c>
      <c r="B671" s="3">
        <v>45130.099249375002</v>
      </c>
      <c r="C671" s="1">
        <v>45130.099249375002</v>
      </c>
      <c r="D671" t="s">
        <v>245</v>
      </c>
      <c r="E671" t="s">
        <v>14</v>
      </c>
      <c r="F671" t="s">
        <v>15</v>
      </c>
      <c r="G671" t="s">
        <v>12</v>
      </c>
      <c r="H671">
        <v>1</v>
      </c>
      <c r="I671">
        <v>631</v>
      </c>
      <c r="J671">
        <v>631</v>
      </c>
      <c r="K671" t="str">
        <f>TEXT(Table1[[#This Row],[Date]],"dddd")</f>
        <v>Sunday</v>
      </c>
      <c r="L671" t="str">
        <f>TEXT(Table1[[#This Row],[Date]],"mmm-yyyy")</f>
        <v>Jul-2023</v>
      </c>
      <c r="M671">
        <f>HOUR(Table1[[#This Row],[Time]])</f>
        <v>2</v>
      </c>
    </row>
    <row r="672" spans="1:13" x14ac:dyDescent="0.3">
      <c r="A672">
        <v>1671</v>
      </c>
      <c r="B672" s="3">
        <v>45130.402835694447</v>
      </c>
      <c r="C672" s="1">
        <v>45130.402835694447</v>
      </c>
      <c r="D672" t="s">
        <v>96</v>
      </c>
      <c r="E672" t="s">
        <v>28</v>
      </c>
      <c r="F672" t="s">
        <v>18</v>
      </c>
      <c r="G672" t="s">
        <v>12</v>
      </c>
      <c r="H672">
        <v>3</v>
      </c>
      <c r="I672">
        <v>251</v>
      </c>
      <c r="J672">
        <v>753</v>
      </c>
      <c r="K672" t="str">
        <f>TEXT(Table1[[#This Row],[Date]],"dddd")</f>
        <v>Sunday</v>
      </c>
      <c r="L672" t="str">
        <f>TEXT(Table1[[#This Row],[Date]],"mmm-yyyy")</f>
        <v>Jul-2023</v>
      </c>
      <c r="M672">
        <f>HOUR(Table1[[#This Row],[Time]])</f>
        <v>9</v>
      </c>
    </row>
    <row r="673" spans="1:13" x14ac:dyDescent="0.3">
      <c r="A673">
        <v>1672</v>
      </c>
      <c r="B673" s="3">
        <v>45130.706422013885</v>
      </c>
      <c r="C673" s="1">
        <v>45130.706422013885</v>
      </c>
      <c r="D673" t="s">
        <v>140</v>
      </c>
      <c r="E673" t="s">
        <v>17</v>
      </c>
      <c r="F673" t="s">
        <v>15</v>
      </c>
      <c r="G673" t="s">
        <v>35</v>
      </c>
      <c r="H673">
        <v>1</v>
      </c>
      <c r="I673">
        <v>661</v>
      </c>
      <c r="J673">
        <v>661</v>
      </c>
      <c r="K673" t="str">
        <f>TEXT(Table1[[#This Row],[Date]],"dddd")</f>
        <v>Sunday</v>
      </c>
      <c r="L673" t="str">
        <f>TEXT(Table1[[#This Row],[Date]],"mmm-yyyy")</f>
        <v>Jul-2023</v>
      </c>
      <c r="M673">
        <f>HOUR(Table1[[#This Row],[Time]])</f>
        <v>16</v>
      </c>
    </row>
    <row r="674" spans="1:13" x14ac:dyDescent="0.3">
      <c r="A674">
        <v>1673</v>
      </c>
      <c r="B674" s="3">
        <v>45131.010008344907</v>
      </c>
      <c r="C674" s="1">
        <v>45131.010008344907</v>
      </c>
      <c r="D674" t="s">
        <v>20</v>
      </c>
      <c r="E674" t="s">
        <v>17</v>
      </c>
      <c r="F674" t="s">
        <v>15</v>
      </c>
      <c r="G674" t="s">
        <v>40</v>
      </c>
      <c r="H674">
        <v>5</v>
      </c>
      <c r="I674">
        <v>788</v>
      </c>
      <c r="J674">
        <v>3940</v>
      </c>
      <c r="K674" t="str">
        <f>TEXT(Table1[[#This Row],[Date]],"dddd")</f>
        <v>Monday</v>
      </c>
      <c r="L674" t="str">
        <f>TEXT(Table1[[#This Row],[Date]],"mmm-yyyy")</f>
        <v>Jul-2023</v>
      </c>
      <c r="M674">
        <f>HOUR(Table1[[#This Row],[Time]])</f>
        <v>0</v>
      </c>
    </row>
    <row r="675" spans="1:13" x14ac:dyDescent="0.3">
      <c r="A675">
        <v>1674</v>
      </c>
      <c r="B675" s="3">
        <v>45131.313594664352</v>
      </c>
      <c r="C675" s="1">
        <v>45131.313594664352</v>
      </c>
      <c r="D675" t="s">
        <v>30</v>
      </c>
      <c r="E675" t="s">
        <v>14</v>
      </c>
      <c r="F675" t="s">
        <v>39</v>
      </c>
      <c r="G675" t="s">
        <v>12</v>
      </c>
      <c r="H675">
        <v>4</v>
      </c>
      <c r="I675">
        <v>707</v>
      </c>
      <c r="J675">
        <v>2828</v>
      </c>
      <c r="K675" t="str">
        <f>TEXT(Table1[[#This Row],[Date]],"dddd")</f>
        <v>Monday</v>
      </c>
      <c r="L675" t="str">
        <f>TEXT(Table1[[#This Row],[Date]],"mmm-yyyy")</f>
        <v>Jul-2023</v>
      </c>
      <c r="M675">
        <f>HOUR(Table1[[#This Row],[Time]])</f>
        <v>7</v>
      </c>
    </row>
    <row r="676" spans="1:13" x14ac:dyDescent="0.3">
      <c r="A676">
        <v>1675</v>
      </c>
      <c r="B676" s="3">
        <v>45131.617180983798</v>
      </c>
      <c r="C676" s="1">
        <v>45131.617180983798</v>
      </c>
      <c r="D676" t="s">
        <v>49</v>
      </c>
      <c r="E676" t="s">
        <v>14</v>
      </c>
      <c r="F676" t="s">
        <v>18</v>
      </c>
      <c r="G676" t="s">
        <v>25</v>
      </c>
      <c r="H676">
        <v>1</v>
      </c>
      <c r="I676">
        <v>716</v>
      </c>
      <c r="J676">
        <v>716</v>
      </c>
      <c r="K676" t="str">
        <f>TEXT(Table1[[#This Row],[Date]],"dddd")</f>
        <v>Monday</v>
      </c>
      <c r="L676" t="str">
        <f>TEXT(Table1[[#This Row],[Date]],"mmm-yyyy")</f>
        <v>Jul-2023</v>
      </c>
      <c r="M676">
        <f>HOUR(Table1[[#This Row],[Time]])</f>
        <v>14</v>
      </c>
    </row>
    <row r="677" spans="1:13" x14ac:dyDescent="0.3">
      <c r="A677">
        <v>1676</v>
      </c>
      <c r="B677" s="3">
        <v>45131.920767303243</v>
      </c>
      <c r="C677" s="1">
        <v>45131.920767303243</v>
      </c>
      <c r="D677" t="s">
        <v>275</v>
      </c>
      <c r="E677" t="s">
        <v>28</v>
      </c>
      <c r="F677" t="s">
        <v>15</v>
      </c>
      <c r="G677" t="s">
        <v>19</v>
      </c>
      <c r="H677">
        <v>5</v>
      </c>
      <c r="I677">
        <v>519</v>
      </c>
      <c r="J677">
        <v>2595</v>
      </c>
      <c r="K677" t="str">
        <f>TEXT(Table1[[#This Row],[Date]],"dddd")</f>
        <v>Monday</v>
      </c>
      <c r="L677" t="str">
        <f>TEXT(Table1[[#This Row],[Date]],"mmm-yyyy")</f>
        <v>Jul-2023</v>
      </c>
      <c r="M677">
        <f>HOUR(Table1[[#This Row],[Time]])</f>
        <v>22</v>
      </c>
    </row>
    <row r="678" spans="1:13" x14ac:dyDescent="0.3">
      <c r="A678">
        <v>1677</v>
      </c>
      <c r="B678" s="3">
        <v>45132.224353622689</v>
      </c>
      <c r="C678" s="1">
        <v>45132.224353622689</v>
      </c>
      <c r="D678" t="s">
        <v>173</v>
      </c>
      <c r="E678" t="s">
        <v>28</v>
      </c>
      <c r="F678" t="s">
        <v>18</v>
      </c>
      <c r="G678" t="s">
        <v>19</v>
      </c>
      <c r="H678">
        <v>5</v>
      </c>
      <c r="I678">
        <v>349</v>
      </c>
      <c r="J678">
        <v>1745</v>
      </c>
      <c r="K678" t="str">
        <f>TEXT(Table1[[#This Row],[Date]],"dddd")</f>
        <v>Tuesday</v>
      </c>
      <c r="L678" t="str">
        <f>TEXT(Table1[[#This Row],[Date]],"mmm-yyyy")</f>
        <v>Jul-2023</v>
      </c>
      <c r="M678">
        <f>HOUR(Table1[[#This Row],[Time]])</f>
        <v>5</v>
      </c>
    </row>
    <row r="679" spans="1:13" x14ac:dyDescent="0.3">
      <c r="A679">
        <v>1678</v>
      </c>
      <c r="B679" s="3">
        <v>45132.527939953703</v>
      </c>
      <c r="C679" s="1">
        <v>45132.527939953703</v>
      </c>
      <c r="D679" t="s">
        <v>271</v>
      </c>
      <c r="E679" t="s">
        <v>14</v>
      </c>
      <c r="F679" t="s">
        <v>15</v>
      </c>
      <c r="G679" t="s">
        <v>42</v>
      </c>
      <c r="H679">
        <v>3</v>
      </c>
      <c r="I679">
        <v>216</v>
      </c>
      <c r="J679">
        <v>648</v>
      </c>
      <c r="K679" t="str">
        <f>TEXT(Table1[[#This Row],[Date]],"dddd")</f>
        <v>Tuesday</v>
      </c>
      <c r="L679" t="str">
        <f>TEXT(Table1[[#This Row],[Date]],"mmm-yyyy")</f>
        <v>Jul-2023</v>
      </c>
      <c r="M679">
        <f>HOUR(Table1[[#This Row],[Time]])</f>
        <v>12</v>
      </c>
    </row>
    <row r="680" spans="1:13" x14ac:dyDescent="0.3">
      <c r="A680">
        <v>1679</v>
      </c>
      <c r="B680" s="3">
        <v>45132.831526273148</v>
      </c>
      <c r="C680" s="1">
        <v>45132.831526273148</v>
      </c>
      <c r="D680" t="s">
        <v>205</v>
      </c>
      <c r="E680" t="s">
        <v>17</v>
      </c>
      <c r="F680" t="s">
        <v>11</v>
      </c>
      <c r="G680" t="s">
        <v>25</v>
      </c>
      <c r="H680">
        <v>5</v>
      </c>
      <c r="I680">
        <v>965</v>
      </c>
      <c r="J680">
        <v>4825</v>
      </c>
      <c r="K680" t="str">
        <f>TEXT(Table1[[#This Row],[Date]],"dddd")</f>
        <v>Tuesday</v>
      </c>
      <c r="L680" t="str">
        <f>TEXT(Table1[[#This Row],[Date]],"mmm-yyyy")</f>
        <v>Jul-2023</v>
      </c>
      <c r="M680">
        <f>HOUR(Table1[[#This Row],[Time]])</f>
        <v>19</v>
      </c>
    </row>
    <row r="681" spans="1:13" x14ac:dyDescent="0.3">
      <c r="A681">
        <v>1680</v>
      </c>
      <c r="B681" s="3">
        <v>45133.135112592594</v>
      </c>
      <c r="C681" s="1">
        <v>45133.135112592594</v>
      </c>
      <c r="D681" t="s">
        <v>57</v>
      </c>
      <c r="E681" t="s">
        <v>28</v>
      </c>
      <c r="F681" t="s">
        <v>11</v>
      </c>
      <c r="G681" t="s">
        <v>56</v>
      </c>
      <c r="H681">
        <v>5</v>
      </c>
      <c r="I681">
        <v>611</v>
      </c>
      <c r="J681">
        <v>3055</v>
      </c>
      <c r="K681" t="str">
        <f>TEXT(Table1[[#This Row],[Date]],"dddd")</f>
        <v>Wednesday</v>
      </c>
      <c r="L681" t="str">
        <f>TEXT(Table1[[#This Row],[Date]],"mmm-yyyy")</f>
        <v>Jul-2023</v>
      </c>
      <c r="M681">
        <f>HOUR(Table1[[#This Row],[Time]])</f>
        <v>3</v>
      </c>
    </row>
    <row r="682" spans="1:13" x14ac:dyDescent="0.3">
      <c r="A682">
        <v>1681</v>
      </c>
      <c r="B682" s="3">
        <v>45133.438698912039</v>
      </c>
      <c r="C682" s="1">
        <v>45133.438698912039</v>
      </c>
      <c r="D682" t="s">
        <v>55</v>
      </c>
      <c r="E682" t="s">
        <v>28</v>
      </c>
      <c r="F682" t="s">
        <v>24</v>
      </c>
      <c r="G682" t="s">
        <v>33</v>
      </c>
      <c r="H682">
        <v>5</v>
      </c>
      <c r="I682">
        <v>839</v>
      </c>
      <c r="J682">
        <v>4195</v>
      </c>
      <c r="K682" t="str">
        <f>TEXT(Table1[[#This Row],[Date]],"dddd")</f>
        <v>Wednesday</v>
      </c>
      <c r="L682" t="str">
        <f>TEXT(Table1[[#This Row],[Date]],"mmm-yyyy")</f>
        <v>Jul-2023</v>
      </c>
      <c r="M682">
        <f>HOUR(Table1[[#This Row],[Time]])</f>
        <v>10</v>
      </c>
    </row>
    <row r="683" spans="1:13" x14ac:dyDescent="0.3">
      <c r="A683">
        <v>1682</v>
      </c>
      <c r="B683" s="3">
        <v>45133.742285243054</v>
      </c>
      <c r="C683" s="1">
        <v>45133.742285243054</v>
      </c>
      <c r="D683" t="s">
        <v>243</v>
      </c>
      <c r="E683" t="s">
        <v>17</v>
      </c>
      <c r="F683" t="s">
        <v>11</v>
      </c>
      <c r="G683" t="s">
        <v>29</v>
      </c>
      <c r="H683">
        <v>5</v>
      </c>
      <c r="I683">
        <v>677</v>
      </c>
      <c r="J683">
        <v>3385</v>
      </c>
      <c r="K683" t="str">
        <f>TEXT(Table1[[#This Row],[Date]],"dddd")</f>
        <v>Wednesday</v>
      </c>
      <c r="L683" t="str">
        <f>TEXT(Table1[[#This Row],[Date]],"mmm-yyyy")</f>
        <v>Jul-2023</v>
      </c>
      <c r="M683">
        <f>HOUR(Table1[[#This Row],[Time]])</f>
        <v>17</v>
      </c>
    </row>
    <row r="684" spans="1:13" x14ac:dyDescent="0.3">
      <c r="A684">
        <v>1683</v>
      </c>
      <c r="B684" s="3">
        <v>45134.045871562499</v>
      </c>
      <c r="C684" s="1">
        <v>45134.045871562499</v>
      </c>
      <c r="D684" t="s">
        <v>267</v>
      </c>
      <c r="E684" t="s">
        <v>28</v>
      </c>
      <c r="F684" t="s">
        <v>18</v>
      </c>
      <c r="G684" t="s">
        <v>56</v>
      </c>
      <c r="H684">
        <v>2</v>
      </c>
      <c r="I684">
        <v>434</v>
      </c>
      <c r="J684">
        <v>868</v>
      </c>
      <c r="K684" t="str">
        <f>TEXT(Table1[[#This Row],[Date]],"dddd")</f>
        <v>Thursday</v>
      </c>
      <c r="L684" t="str">
        <f>TEXT(Table1[[#This Row],[Date]],"mmm-yyyy")</f>
        <v>Jul-2023</v>
      </c>
      <c r="M684">
        <f>HOUR(Table1[[#This Row],[Time]])</f>
        <v>1</v>
      </c>
    </row>
    <row r="685" spans="1:13" x14ac:dyDescent="0.3">
      <c r="A685">
        <v>1684</v>
      </c>
      <c r="B685" s="3">
        <v>45134.349457881945</v>
      </c>
      <c r="C685" s="1">
        <v>45134.349457881945</v>
      </c>
      <c r="D685" t="s">
        <v>91</v>
      </c>
      <c r="E685" t="s">
        <v>17</v>
      </c>
      <c r="F685" t="s">
        <v>39</v>
      </c>
      <c r="G685" t="s">
        <v>19</v>
      </c>
      <c r="H685">
        <v>2</v>
      </c>
      <c r="I685">
        <v>517</v>
      </c>
      <c r="J685">
        <v>1034</v>
      </c>
      <c r="K685" t="str">
        <f>TEXT(Table1[[#This Row],[Date]],"dddd")</f>
        <v>Thursday</v>
      </c>
      <c r="L685" t="str">
        <f>TEXT(Table1[[#This Row],[Date]],"mmm-yyyy")</f>
        <v>Jul-2023</v>
      </c>
      <c r="M685">
        <f>HOUR(Table1[[#This Row],[Time]])</f>
        <v>8</v>
      </c>
    </row>
    <row r="686" spans="1:13" x14ac:dyDescent="0.3">
      <c r="A686">
        <v>1685</v>
      </c>
      <c r="B686" s="3">
        <v>45134.65304420139</v>
      </c>
      <c r="C686" s="1">
        <v>45134.65304420139</v>
      </c>
      <c r="D686" t="s">
        <v>185</v>
      </c>
      <c r="E686" t="s">
        <v>10</v>
      </c>
      <c r="F686" t="s">
        <v>24</v>
      </c>
      <c r="G686" t="s">
        <v>33</v>
      </c>
      <c r="H686">
        <v>3</v>
      </c>
      <c r="I686">
        <v>873</v>
      </c>
      <c r="J686">
        <v>2619</v>
      </c>
      <c r="K686" t="str">
        <f>TEXT(Table1[[#This Row],[Date]],"dddd")</f>
        <v>Thursday</v>
      </c>
      <c r="L686" t="str">
        <f>TEXT(Table1[[#This Row],[Date]],"mmm-yyyy")</f>
        <v>Jul-2023</v>
      </c>
      <c r="M686">
        <f>HOUR(Table1[[#This Row],[Time]])</f>
        <v>15</v>
      </c>
    </row>
    <row r="687" spans="1:13" x14ac:dyDescent="0.3">
      <c r="A687">
        <v>1686</v>
      </c>
      <c r="B687" s="3">
        <v>45134.956630520835</v>
      </c>
      <c r="C687" s="1">
        <v>45134.956630520835</v>
      </c>
      <c r="D687" t="s">
        <v>195</v>
      </c>
      <c r="E687" t="s">
        <v>28</v>
      </c>
      <c r="F687" t="s">
        <v>15</v>
      </c>
      <c r="G687" t="s">
        <v>12</v>
      </c>
      <c r="H687">
        <v>1</v>
      </c>
      <c r="I687">
        <v>394</v>
      </c>
      <c r="J687">
        <v>394</v>
      </c>
      <c r="K687" t="str">
        <f>TEXT(Table1[[#This Row],[Date]],"dddd")</f>
        <v>Thursday</v>
      </c>
      <c r="L687" t="str">
        <f>TEXT(Table1[[#This Row],[Date]],"mmm-yyyy")</f>
        <v>Jul-2023</v>
      </c>
      <c r="M687">
        <f>HOUR(Table1[[#This Row],[Time]])</f>
        <v>22</v>
      </c>
    </row>
    <row r="688" spans="1:13" x14ac:dyDescent="0.3">
      <c r="A688">
        <v>1687</v>
      </c>
      <c r="B688" s="3">
        <v>45135.26021685185</v>
      </c>
      <c r="C688" s="1">
        <v>45135.26021685185</v>
      </c>
      <c r="D688" t="s">
        <v>98</v>
      </c>
      <c r="E688" t="s">
        <v>28</v>
      </c>
      <c r="F688" t="s">
        <v>11</v>
      </c>
      <c r="G688" t="s">
        <v>56</v>
      </c>
      <c r="H688">
        <v>5</v>
      </c>
      <c r="I688">
        <v>854</v>
      </c>
      <c r="J688">
        <v>4270</v>
      </c>
      <c r="K688" t="str">
        <f>TEXT(Table1[[#This Row],[Date]],"dddd")</f>
        <v>Friday</v>
      </c>
      <c r="L688" t="str">
        <f>TEXT(Table1[[#This Row],[Date]],"mmm-yyyy")</f>
        <v>Jul-2023</v>
      </c>
      <c r="M688">
        <f>HOUR(Table1[[#This Row],[Time]])</f>
        <v>6</v>
      </c>
    </row>
    <row r="689" spans="1:13" x14ac:dyDescent="0.3">
      <c r="A689">
        <v>1688</v>
      </c>
      <c r="B689" s="3">
        <v>45135.563803171295</v>
      </c>
      <c r="C689" s="1">
        <v>45135.563803171295</v>
      </c>
      <c r="D689" t="s">
        <v>82</v>
      </c>
      <c r="E689" t="s">
        <v>10</v>
      </c>
      <c r="F689" t="s">
        <v>24</v>
      </c>
      <c r="G689" t="s">
        <v>12</v>
      </c>
      <c r="H689">
        <v>1</v>
      </c>
      <c r="I689">
        <v>470</v>
      </c>
      <c r="J689">
        <v>470</v>
      </c>
      <c r="K689" t="str">
        <f>TEXT(Table1[[#This Row],[Date]],"dddd")</f>
        <v>Friday</v>
      </c>
      <c r="L689" t="str">
        <f>TEXT(Table1[[#This Row],[Date]],"mmm-yyyy")</f>
        <v>Jul-2023</v>
      </c>
      <c r="M689">
        <f>HOUR(Table1[[#This Row],[Time]])</f>
        <v>13</v>
      </c>
    </row>
    <row r="690" spans="1:13" x14ac:dyDescent="0.3">
      <c r="A690">
        <v>1689</v>
      </c>
      <c r="B690" s="3">
        <v>45135.867389490741</v>
      </c>
      <c r="C690" s="1">
        <v>45135.867389490741</v>
      </c>
      <c r="D690" t="s">
        <v>276</v>
      </c>
      <c r="E690" t="s">
        <v>17</v>
      </c>
      <c r="F690" t="s">
        <v>11</v>
      </c>
      <c r="G690" t="s">
        <v>22</v>
      </c>
      <c r="H690">
        <v>1</v>
      </c>
      <c r="I690">
        <v>285</v>
      </c>
      <c r="J690">
        <v>285</v>
      </c>
      <c r="K690" t="str">
        <f>TEXT(Table1[[#This Row],[Date]],"dddd")</f>
        <v>Friday</v>
      </c>
      <c r="L690" t="str">
        <f>TEXT(Table1[[#This Row],[Date]],"mmm-yyyy")</f>
        <v>Jul-2023</v>
      </c>
      <c r="M690">
        <f>HOUR(Table1[[#This Row],[Time]])</f>
        <v>20</v>
      </c>
    </row>
    <row r="691" spans="1:13" x14ac:dyDescent="0.3">
      <c r="A691">
        <v>1690</v>
      </c>
      <c r="B691" s="3">
        <v>45136.170975810186</v>
      </c>
      <c r="C691" s="1">
        <v>45136.170975810186</v>
      </c>
      <c r="D691" t="s">
        <v>52</v>
      </c>
      <c r="E691" t="s">
        <v>28</v>
      </c>
      <c r="F691" t="s">
        <v>24</v>
      </c>
      <c r="G691" t="s">
        <v>42</v>
      </c>
      <c r="H691">
        <v>3</v>
      </c>
      <c r="I691">
        <v>345</v>
      </c>
      <c r="J691">
        <v>1035</v>
      </c>
      <c r="K691" t="str">
        <f>TEXT(Table1[[#This Row],[Date]],"dddd")</f>
        <v>Saturday</v>
      </c>
      <c r="L691" t="str">
        <f>TEXT(Table1[[#This Row],[Date]],"mmm-yyyy")</f>
        <v>Jul-2023</v>
      </c>
      <c r="M691">
        <f>HOUR(Table1[[#This Row],[Time]])</f>
        <v>4</v>
      </c>
    </row>
    <row r="692" spans="1:13" x14ac:dyDescent="0.3">
      <c r="A692">
        <v>1691</v>
      </c>
      <c r="B692" s="3">
        <v>45136.474562129632</v>
      </c>
      <c r="C692" s="1">
        <v>45136.474562129632</v>
      </c>
      <c r="D692" t="s">
        <v>296</v>
      </c>
      <c r="E692" t="s">
        <v>10</v>
      </c>
      <c r="F692" t="s">
        <v>18</v>
      </c>
      <c r="G692" t="s">
        <v>33</v>
      </c>
      <c r="H692">
        <v>5</v>
      </c>
      <c r="I692">
        <v>736</v>
      </c>
      <c r="J692">
        <v>3680</v>
      </c>
      <c r="K692" t="str">
        <f>TEXT(Table1[[#This Row],[Date]],"dddd")</f>
        <v>Saturday</v>
      </c>
      <c r="L692" t="str">
        <f>TEXT(Table1[[#This Row],[Date]],"mmm-yyyy")</f>
        <v>Jul-2023</v>
      </c>
      <c r="M692">
        <f>HOUR(Table1[[#This Row],[Time]])</f>
        <v>11</v>
      </c>
    </row>
    <row r="693" spans="1:13" x14ac:dyDescent="0.3">
      <c r="A693">
        <v>1692</v>
      </c>
      <c r="B693" s="3">
        <v>45136.778148460646</v>
      </c>
      <c r="C693" s="1">
        <v>45136.778148460646</v>
      </c>
      <c r="D693" t="s">
        <v>226</v>
      </c>
      <c r="E693" t="s">
        <v>17</v>
      </c>
      <c r="F693" t="s">
        <v>18</v>
      </c>
      <c r="G693" t="s">
        <v>33</v>
      </c>
      <c r="H693">
        <v>5</v>
      </c>
      <c r="I693">
        <v>367</v>
      </c>
      <c r="J693">
        <v>1835</v>
      </c>
      <c r="K693" t="str">
        <f>TEXT(Table1[[#This Row],[Date]],"dddd")</f>
        <v>Saturday</v>
      </c>
      <c r="L693" t="str">
        <f>TEXT(Table1[[#This Row],[Date]],"mmm-yyyy")</f>
        <v>Jul-2023</v>
      </c>
      <c r="M693">
        <f>HOUR(Table1[[#This Row],[Time]])</f>
        <v>18</v>
      </c>
    </row>
    <row r="694" spans="1:13" x14ac:dyDescent="0.3">
      <c r="A694">
        <v>1693</v>
      </c>
      <c r="B694" s="3">
        <v>45137.081734780091</v>
      </c>
      <c r="C694" s="1">
        <v>45137.081734780091</v>
      </c>
      <c r="D694" t="s">
        <v>194</v>
      </c>
      <c r="E694" t="s">
        <v>28</v>
      </c>
      <c r="F694" t="s">
        <v>15</v>
      </c>
      <c r="G694" t="s">
        <v>56</v>
      </c>
      <c r="H694">
        <v>4</v>
      </c>
      <c r="I694">
        <v>742</v>
      </c>
      <c r="J694">
        <v>2968</v>
      </c>
      <c r="K694" t="str">
        <f>TEXT(Table1[[#This Row],[Date]],"dddd")</f>
        <v>Sunday</v>
      </c>
      <c r="L694" t="str">
        <f>TEXT(Table1[[#This Row],[Date]],"mmm-yyyy")</f>
        <v>Jul-2023</v>
      </c>
      <c r="M694">
        <f>HOUR(Table1[[#This Row],[Time]])</f>
        <v>1</v>
      </c>
    </row>
    <row r="695" spans="1:13" x14ac:dyDescent="0.3">
      <c r="A695">
        <v>1694</v>
      </c>
      <c r="B695" s="3">
        <v>45137.385321099537</v>
      </c>
      <c r="C695" s="1">
        <v>45137.385321099537</v>
      </c>
      <c r="D695" t="s">
        <v>125</v>
      </c>
      <c r="E695" t="s">
        <v>14</v>
      </c>
      <c r="F695" t="s">
        <v>24</v>
      </c>
      <c r="G695" t="s">
        <v>40</v>
      </c>
      <c r="H695">
        <v>1</v>
      </c>
      <c r="I695">
        <v>336</v>
      </c>
      <c r="J695">
        <v>336</v>
      </c>
      <c r="K695" t="str">
        <f>TEXT(Table1[[#This Row],[Date]],"dddd")</f>
        <v>Sunday</v>
      </c>
      <c r="L695" t="str">
        <f>TEXT(Table1[[#This Row],[Date]],"mmm-yyyy")</f>
        <v>Jul-2023</v>
      </c>
      <c r="M695">
        <f>HOUR(Table1[[#This Row],[Time]])</f>
        <v>9</v>
      </c>
    </row>
    <row r="696" spans="1:13" x14ac:dyDescent="0.3">
      <c r="A696">
        <v>1695</v>
      </c>
      <c r="B696" s="3">
        <v>45137.688907418982</v>
      </c>
      <c r="C696" s="1">
        <v>45137.688907418982</v>
      </c>
      <c r="D696" t="s">
        <v>158</v>
      </c>
      <c r="E696" t="s">
        <v>10</v>
      </c>
      <c r="F696" t="s">
        <v>39</v>
      </c>
      <c r="G696" t="s">
        <v>42</v>
      </c>
      <c r="H696">
        <v>1</v>
      </c>
      <c r="I696">
        <v>629</v>
      </c>
      <c r="J696">
        <v>629</v>
      </c>
      <c r="K696" t="str">
        <f>TEXT(Table1[[#This Row],[Date]],"dddd")</f>
        <v>Sunday</v>
      </c>
      <c r="L696" t="str">
        <f>TEXT(Table1[[#This Row],[Date]],"mmm-yyyy")</f>
        <v>Jul-2023</v>
      </c>
      <c r="M696">
        <f>HOUR(Table1[[#This Row],[Time]])</f>
        <v>16</v>
      </c>
    </row>
    <row r="697" spans="1:13" x14ac:dyDescent="0.3">
      <c r="A697">
        <v>1696</v>
      </c>
      <c r="B697" s="3">
        <v>45137.992493750004</v>
      </c>
      <c r="C697" s="1">
        <v>45137.992493750004</v>
      </c>
      <c r="D697" t="s">
        <v>175</v>
      </c>
      <c r="E697" t="s">
        <v>17</v>
      </c>
      <c r="F697" t="s">
        <v>18</v>
      </c>
      <c r="G697" t="s">
        <v>42</v>
      </c>
      <c r="H697">
        <v>2</v>
      </c>
      <c r="I697">
        <v>651</v>
      </c>
      <c r="J697">
        <v>1302</v>
      </c>
      <c r="K697" t="str">
        <f>TEXT(Table1[[#This Row],[Date]],"dddd")</f>
        <v>Sunday</v>
      </c>
      <c r="L697" t="str">
        <f>TEXT(Table1[[#This Row],[Date]],"mmm-yyyy")</f>
        <v>Jul-2023</v>
      </c>
      <c r="M697">
        <f>HOUR(Table1[[#This Row],[Time]])</f>
        <v>23</v>
      </c>
    </row>
    <row r="698" spans="1:13" x14ac:dyDescent="0.3">
      <c r="A698">
        <v>1697</v>
      </c>
      <c r="B698" s="3">
        <v>45138.296080069442</v>
      </c>
      <c r="C698" s="1">
        <v>45138.296080069442</v>
      </c>
      <c r="D698" t="s">
        <v>147</v>
      </c>
      <c r="E698" t="s">
        <v>14</v>
      </c>
      <c r="F698" t="s">
        <v>15</v>
      </c>
      <c r="G698" t="s">
        <v>35</v>
      </c>
      <c r="H698">
        <v>4</v>
      </c>
      <c r="I698">
        <v>120</v>
      </c>
      <c r="J698">
        <v>480</v>
      </c>
      <c r="K698" t="str">
        <f>TEXT(Table1[[#This Row],[Date]],"dddd")</f>
        <v>Monday</v>
      </c>
      <c r="L698" t="str">
        <f>TEXT(Table1[[#This Row],[Date]],"mmm-yyyy")</f>
        <v>Jul-2023</v>
      </c>
      <c r="M698">
        <f>HOUR(Table1[[#This Row],[Time]])</f>
        <v>7</v>
      </c>
    </row>
    <row r="699" spans="1:13" x14ac:dyDescent="0.3">
      <c r="A699">
        <v>1698</v>
      </c>
      <c r="B699" s="3">
        <v>45138.599666388887</v>
      </c>
      <c r="C699" s="1">
        <v>45138.599666388887</v>
      </c>
      <c r="D699" t="s">
        <v>146</v>
      </c>
      <c r="E699" t="s">
        <v>17</v>
      </c>
      <c r="F699" t="s">
        <v>24</v>
      </c>
      <c r="G699" t="s">
        <v>35</v>
      </c>
      <c r="H699">
        <v>2</v>
      </c>
      <c r="I699">
        <v>836</v>
      </c>
      <c r="J699">
        <v>1672</v>
      </c>
      <c r="K699" t="str">
        <f>TEXT(Table1[[#This Row],[Date]],"dddd")</f>
        <v>Monday</v>
      </c>
      <c r="L699" t="str">
        <f>TEXT(Table1[[#This Row],[Date]],"mmm-yyyy")</f>
        <v>Jul-2023</v>
      </c>
      <c r="M699">
        <f>HOUR(Table1[[#This Row],[Time]])</f>
        <v>14</v>
      </c>
    </row>
    <row r="700" spans="1:13" x14ac:dyDescent="0.3">
      <c r="A700">
        <v>1699</v>
      </c>
      <c r="B700" s="3">
        <v>45138.903252708333</v>
      </c>
      <c r="C700" s="1">
        <v>45138.903252708333</v>
      </c>
      <c r="D700" t="s">
        <v>174</v>
      </c>
      <c r="E700" t="s">
        <v>14</v>
      </c>
      <c r="F700" t="s">
        <v>15</v>
      </c>
      <c r="G700" t="s">
        <v>19</v>
      </c>
      <c r="H700">
        <v>2</v>
      </c>
      <c r="I700">
        <v>966</v>
      </c>
      <c r="J700">
        <v>1932</v>
      </c>
      <c r="K700" t="str">
        <f>TEXT(Table1[[#This Row],[Date]],"dddd")</f>
        <v>Monday</v>
      </c>
      <c r="L700" t="str">
        <f>TEXT(Table1[[#This Row],[Date]],"mmm-yyyy")</f>
        <v>Jul-2023</v>
      </c>
      <c r="M700">
        <f>HOUR(Table1[[#This Row],[Time]])</f>
        <v>21</v>
      </c>
    </row>
    <row r="701" spans="1:13" x14ac:dyDescent="0.3">
      <c r="A701">
        <v>1700</v>
      </c>
      <c r="B701" s="3">
        <v>45139.206839027778</v>
      </c>
      <c r="C701" s="1">
        <v>45139.206839027778</v>
      </c>
      <c r="D701" t="s">
        <v>141</v>
      </c>
      <c r="E701" t="s">
        <v>14</v>
      </c>
      <c r="F701" t="s">
        <v>18</v>
      </c>
      <c r="G701" t="s">
        <v>33</v>
      </c>
      <c r="H701">
        <v>2</v>
      </c>
      <c r="I701">
        <v>893</v>
      </c>
      <c r="J701">
        <v>1786</v>
      </c>
      <c r="K701" t="str">
        <f>TEXT(Table1[[#This Row],[Date]],"dddd")</f>
        <v>Tuesday</v>
      </c>
      <c r="L701" t="str">
        <f>TEXT(Table1[[#This Row],[Date]],"mmm-yyyy")</f>
        <v>Aug-2023</v>
      </c>
      <c r="M701">
        <f>HOUR(Table1[[#This Row],[Time]])</f>
        <v>4</v>
      </c>
    </row>
    <row r="702" spans="1:13" x14ac:dyDescent="0.3">
      <c r="A702">
        <v>1701</v>
      </c>
      <c r="B702" s="3">
        <v>45139.5104253588</v>
      </c>
      <c r="C702" s="1">
        <v>45139.5104253588</v>
      </c>
      <c r="D702" t="s">
        <v>194</v>
      </c>
      <c r="E702" t="s">
        <v>10</v>
      </c>
      <c r="F702" t="s">
        <v>15</v>
      </c>
      <c r="G702" t="s">
        <v>33</v>
      </c>
      <c r="H702">
        <v>3</v>
      </c>
      <c r="I702">
        <v>619</v>
      </c>
      <c r="J702">
        <v>1857</v>
      </c>
      <c r="K702" t="str">
        <f>TEXT(Table1[[#This Row],[Date]],"dddd")</f>
        <v>Tuesday</v>
      </c>
      <c r="L702" t="str">
        <f>TEXT(Table1[[#This Row],[Date]],"mmm-yyyy")</f>
        <v>Aug-2023</v>
      </c>
      <c r="M702">
        <f>HOUR(Table1[[#This Row],[Time]])</f>
        <v>12</v>
      </c>
    </row>
    <row r="703" spans="1:13" x14ac:dyDescent="0.3">
      <c r="A703">
        <v>1702</v>
      </c>
      <c r="B703" s="3">
        <v>45139.814011678238</v>
      </c>
      <c r="C703" s="1">
        <v>45139.814011678238</v>
      </c>
      <c r="D703" t="s">
        <v>146</v>
      </c>
      <c r="E703" t="s">
        <v>10</v>
      </c>
      <c r="F703" t="s">
        <v>24</v>
      </c>
      <c r="G703" t="s">
        <v>40</v>
      </c>
      <c r="H703">
        <v>3</v>
      </c>
      <c r="I703">
        <v>199</v>
      </c>
      <c r="J703">
        <v>597</v>
      </c>
      <c r="K703" t="str">
        <f>TEXT(Table1[[#This Row],[Date]],"dddd")</f>
        <v>Tuesday</v>
      </c>
      <c r="L703" t="str">
        <f>TEXT(Table1[[#This Row],[Date]],"mmm-yyyy")</f>
        <v>Aug-2023</v>
      </c>
      <c r="M703">
        <f>HOUR(Table1[[#This Row],[Time]])</f>
        <v>19</v>
      </c>
    </row>
    <row r="704" spans="1:13" x14ac:dyDescent="0.3">
      <c r="A704">
        <v>1703</v>
      </c>
      <c r="B704" s="3">
        <v>45140.117597997683</v>
      </c>
      <c r="C704" s="1">
        <v>45140.117597997683</v>
      </c>
      <c r="D704" t="s">
        <v>152</v>
      </c>
      <c r="E704" t="s">
        <v>14</v>
      </c>
      <c r="F704" t="s">
        <v>11</v>
      </c>
      <c r="G704" t="s">
        <v>12</v>
      </c>
      <c r="H704">
        <v>2</v>
      </c>
      <c r="I704">
        <v>851</v>
      </c>
      <c r="J704">
        <v>1702</v>
      </c>
      <c r="K704" t="str">
        <f>TEXT(Table1[[#This Row],[Date]],"dddd")</f>
        <v>Wednesday</v>
      </c>
      <c r="L704" t="str">
        <f>TEXT(Table1[[#This Row],[Date]],"mmm-yyyy")</f>
        <v>Aug-2023</v>
      </c>
      <c r="M704">
        <f>HOUR(Table1[[#This Row],[Time]])</f>
        <v>2</v>
      </c>
    </row>
    <row r="705" spans="1:13" x14ac:dyDescent="0.3">
      <c r="A705">
        <v>1704</v>
      </c>
      <c r="B705" s="3">
        <v>45140.421184317129</v>
      </c>
      <c r="C705" s="1">
        <v>45140.421184317129</v>
      </c>
      <c r="D705" t="s">
        <v>297</v>
      </c>
      <c r="E705" t="s">
        <v>10</v>
      </c>
      <c r="F705" t="s">
        <v>39</v>
      </c>
      <c r="G705" t="s">
        <v>29</v>
      </c>
      <c r="H705">
        <v>4</v>
      </c>
      <c r="I705">
        <v>577</v>
      </c>
      <c r="J705">
        <v>2308</v>
      </c>
      <c r="K705" t="str">
        <f>TEXT(Table1[[#This Row],[Date]],"dddd")</f>
        <v>Wednesday</v>
      </c>
      <c r="L705" t="str">
        <f>TEXT(Table1[[#This Row],[Date]],"mmm-yyyy")</f>
        <v>Aug-2023</v>
      </c>
      <c r="M705">
        <f>HOUR(Table1[[#This Row],[Time]])</f>
        <v>10</v>
      </c>
    </row>
    <row r="706" spans="1:13" x14ac:dyDescent="0.3">
      <c r="A706">
        <v>1705</v>
      </c>
      <c r="B706" s="3">
        <v>45140.724770636574</v>
      </c>
      <c r="C706" s="1">
        <v>45140.724770636574</v>
      </c>
      <c r="D706" t="s">
        <v>48</v>
      </c>
      <c r="E706" t="s">
        <v>17</v>
      </c>
      <c r="F706" t="s">
        <v>18</v>
      </c>
      <c r="G706" t="s">
        <v>22</v>
      </c>
      <c r="H706">
        <v>1</v>
      </c>
      <c r="I706">
        <v>698</v>
      </c>
      <c r="J706">
        <v>698</v>
      </c>
      <c r="K706" t="str">
        <f>TEXT(Table1[[#This Row],[Date]],"dddd")</f>
        <v>Wednesday</v>
      </c>
      <c r="L706" t="str">
        <f>TEXT(Table1[[#This Row],[Date]],"mmm-yyyy")</f>
        <v>Aug-2023</v>
      </c>
      <c r="M706">
        <f>HOUR(Table1[[#This Row],[Time]])</f>
        <v>17</v>
      </c>
    </row>
    <row r="707" spans="1:13" x14ac:dyDescent="0.3">
      <c r="A707">
        <v>1706</v>
      </c>
      <c r="B707" s="3">
        <v>45141.028356967596</v>
      </c>
      <c r="C707" s="1">
        <v>45141.028356967596</v>
      </c>
      <c r="D707" t="s">
        <v>298</v>
      </c>
      <c r="E707" t="s">
        <v>28</v>
      </c>
      <c r="F707" t="s">
        <v>24</v>
      </c>
      <c r="G707" t="s">
        <v>29</v>
      </c>
      <c r="H707">
        <v>4</v>
      </c>
      <c r="I707">
        <v>397</v>
      </c>
      <c r="J707">
        <v>1588</v>
      </c>
      <c r="K707" t="str">
        <f>TEXT(Table1[[#This Row],[Date]],"dddd")</f>
        <v>Thursday</v>
      </c>
      <c r="L707" t="str">
        <f>TEXT(Table1[[#This Row],[Date]],"mmm-yyyy")</f>
        <v>Aug-2023</v>
      </c>
      <c r="M707">
        <f>HOUR(Table1[[#This Row],[Time]])</f>
        <v>0</v>
      </c>
    </row>
    <row r="708" spans="1:13" x14ac:dyDescent="0.3">
      <c r="A708">
        <v>1707</v>
      </c>
      <c r="B708" s="3">
        <v>45141.331943287034</v>
      </c>
      <c r="C708" s="1">
        <v>45141.331943287034</v>
      </c>
      <c r="D708" t="s">
        <v>36</v>
      </c>
      <c r="E708" t="s">
        <v>17</v>
      </c>
      <c r="F708" t="s">
        <v>24</v>
      </c>
      <c r="G708" t="s">
        <v>19</v>
      </c>
      <c r="H708">
        <v>5</v>
      </c>
      <c r="I708">
        <v>625</v>
      </c>
      <c r="J708">
        <v>3125</v>
      </c>
      <c r="K708" t="str">
        <f>TEXT(Table1[[#This Row],[Date]],"dddd")</f>
        <v>Thursday</v>
      </c>
      <c r="L708" t="str">
        <f>TEXT(Table1[[#This Row],[Date]],"mmm-yyyy")</f>
        <v>Aug-2023</v>
      </c>
      <c r="M708">
        <f>HOUR(Table1[[#This Row],[Time]])</f>
        <v>7</v>
      </c>
    </row>
    <row r="709" spans="1:13" x14ac:dyDescent="0.3">
      <c r="A709">
        <v>1708</v>
      </c>
      <c r="B709" s="3">
        <v>45141.635529606479</v>
      </c>
      <c r="C709" s="1">
        <v>45141.635529606479</v>
      </c>
      <c r="D709" t="s">
        <v>69</v>
      </c>
      <c r="E709" t="s">
        <v>14</v>
      </c>
      <c r="F709" t="s">
        <v>15</v>
      </c>
      <c r="G709" t="s">
        <v>33</v>
      </c>
      <c r="H709">
        <v>3</v>
      </c>
      <c r="I709">
        <v>433</v>
      </c>
      <c r="J709">
        <v>1299</v>
      </c>
      <c r="K709" t="str">
        <f>TEXT(Table1[[#This Row],[Date]],"dddd")</f>
        <v>Thursday</v>
      </c>
      <c r="L709" t="str">
        <f>TEXT(Table1[[#This Row],[Date]],"mmm-yyyy")</f>
        <v>Aug-2023</v>
      </c>
      <c r="M709">
        <f>HOUR(Table1[[#This Row],[Time]])</f>
        <v>15</v>
      </c>
    </row>
    <row r="710" spans="1:13" x14ac:dyDescent="0.3">
      <c r="A710">
        <v>1709</v>
      </c>
      <c r="B710" s="3">
        <v>45141.939115925925</v>
      </c>
      <c r="C710" s="1">
        <v>45141.939115925925</v>
      </c>
      <c r="D710" t="s">
        <v>239</v>
      </c>
      <c r="E710" t="s">
        <v>17</v>
      </c>
      <c r="F710" t="s">
        <v>18</v>
      </c>
      <c r="G710" t="s">
        <v>56</v>
      </c>
      <c r="H710">
        <v>1</v>
      </c>
      <c r="I710">
        <v>101</v>
      </c>
      <c r="J710">
        <v>101</v>
      </c>
      <c r="K710" t="str">
        <f>TEXT(Table1[[#This Row],[Date]],"dddd")</f>
        <v>Thursday</v>
      </c>
      <c r="L710" t="str">
        <f>TEXT(Table1[[#This Row],[Date]],"mmm-yyyy")</f>
        <v>Aug-2023</v>
      </c>
      <c r="M710">
        <f>HOUR(Table1[[#This Row],[Time]])</f>
        <v>22</v>
      </c>
    </row>
    <row r="711" spans="1:13" x14ac:dyDescent="0.3">
      <c r="A711">
        <v>1710</v>
      </c>
      <c r="B711" s="3">
        <v>45142.242702256946</v>
      </c>
      <c r="C711" s="1">
        <v>45142.242702256946</v>
      </c>
      <c r="D711" t="s">
        <v>255</v>
      </c>
      <c r="E711" t="s">
        <v>14</v>
      </c>
      <c r="F711" t="s">
        <v>11</v>
      </c>
      <c r="G711" t="s">
        <v>56</v>
      </c>
      <c r="H711">
        <v>1</v>
      </c>
      <c r="I711">
        <v>474</v>
      </c>
      <c r="J711">
        <v>474</v>
      </c>
      <c r="K711" t="str">
        <f>TEXT(Table1[[#This Row],[Date]],"dddd")</f>
        <v>Friday</v>
      </c>
      <c r="L711" t="str">
        <f>TEXT(Table1[[#This Row],[Date]],"mmm-yyyy")</f>
        <v>Aug-2023</v>
      </c>
      <c r="M711">
        <f>HOUR(Table1[[#This Row],[Time]])</f>
        <v>5</v>
      </c>
    </row>
    <row r="712" spans="1:13" x14ac:dyDescent="0.3">
      <c r="A712">
        <v>1711</v>
      </c>
      <c r="B712" s="3">
        <v>45142.546288576392</v>
      </c>
      <c r="C712" s="1">
        <v>45142.546288576392</v>
      </c>
      <c r="D712" t="s">
        <v>173</v>
      </c>
      <c r="E712" t="s">
        <v>17</v>
      </c>
      <c r="F712" t="s">
        <v>11</v>
      </c>
      <c r="G712" t="s">
        <v>56</v>
      </c>
      <c r="H712">
        <v>5</v>
      </c>
      <c r="I712">
        <v>392</v>
      </c>
      <c r="J712">
        <v>1960</v>
      </c>
      <c r="K712" t="str">
        <f>TEXT(Table1[[#This Row],[Date]],"dddd")</f>
        <v>Friday</v>
      </c>
      <c r="L712" t="str">
        <f>TEXT(Table1[[#This Row],[Date]],"mmm-yyyy")</f>
        <v>Aug-2023</v>
      </c>
      <c r="M712">
        <f>HOUR(Table1[[#This Row],[Time]])</f>
        <v>13</v>
      </c>
    </row>
    <row r="713" spans="1:13" x14ac:dyDescent="0.3">
      <c r="A713">
        <v>1712</v>
      </c>
      <c r="B713" s="3">
        <v>45142.84987489583</v>
      </c>
      <c r="C713" s="1">
        <v>45142.84987489583</v>
      </c>
      <c r="D713" t="s">
        <v>241</v>
      </c>
      <c r="E713" t="s">
        <v>17</v>
      </c>
      <c r="F713" t="s">
        <v>39</v>
      </c>
      <c r="G713" t="s">
        <v>29</v>
      </c>
      <c r="H713">
        <v>5</v>
      </c>
      <c r="I713">
        <v>936</v>
      </c>
      <c r="J713">
        <v>4680</v>
      </c>
      <c r="K713" t="str">
        <f>TEXT(Table1[[#This Row],[Date]],"dddd")</f>
        <v>Friday</v>
      </c>
      <c r="L713" t="str">
        <f>TEXT(Table1[[#This Row],[Date]],"mmm-yyyy")</f>
        <v>Aug-2023</v>
      </c>
      <c r="M713">
        <f>HOUR(Table1[[#This Row],[Time]])</f>
        <v>20</v>
      </c>
    </row>
    <row r="714" spans="1:13" x14ac:dyDescent="0.3">
      <c r="A714">
        <v>1713</v>
      </c>
      <c r="B714" s="3">
        <v>45143.153461215275</v>
      </c>
      <c r="C714" s="1">
        <v>45143.153461215275</v>
      </c>
      <c r="D714" t="s">
        <v>244</v>
      </c>
      <c r="E714" t="s">
        <v>10</v>
      </c>
      <c r="F714" t="s">
        <v>39</v>
      </c>
      <c r="G714" t="s">
        <v>35</v>
      </c>
      <c r="H714">
        <v>2</v>
      </c>
      <c r="I714">
        <v>652</v>
      </c>
      <c r="J714">
        <v>1304</v>
      </c>
      <c r="K714" t="str">
        <f>TEXT(Table1[[#This Row],[Date]],"dddd")</f>
        <v>Saturday</v>
      </c>
      <c r="L714" t="str">
        <f>TEXT(Table1[[#This Row],[Date]],"mmm-yyyy")</f>
        <v>Aug-2023</v>
      </c>
      <c r="M714">
        <f>HOUR(Table1[[#This Row],[Time]])</f>
        <v>3</v>
      </c>
    </row>
    <row r="715" spans="1:13" x14ac:dyDescent="0.3">
      <c r="A715">
        <v>1714</v>
      </c>
      <c r="B715" s="3">
        <v>45143.457047534721</v>
      </c>
      <c r="C715" s="1">
        <v>45143.457047534721</v>
      </c>
      <c r="D715" t="s">
        <v>289</v>
      </c>
      <c r="E715" t="s">
        <v>14</v>
      </c>
      <c r="F715" t="s">
        <v>15</v>
      </c>
      <c r="G715" t="s">
        <v>12</v>
      </c>
      <c r="H715">
        <v>3</v>
      </c>
      <c r="I715">
        <v>417</v>
      </c>
      <c r="J715">
        <v>1251</v>
      </c>
      <c r="K715" t="str">
        <f>TEXT(Table1[[#This Row],[Date]],"dddd")</f>
        <v>Saturday</v>
      </c>
      <c r="L715" t="str">
        <f>TEXT(Table1[[#This Row],[Date]],"mmm-yyyy")</f>
        <v>Aug-2023</v>
      </c>
      <c r="M715">
        <f>HOUR(Table1[[#This Row],[Time]])</f>
        <v>10</v>
      </c>
    </row>
    <row r="716" spans="1:13" x14ac:dyDescent="0.3">
      <c r="A716">
        <v>1715</v>
      </c>
      <c r="B716" s="3">
        <v>45143.760633865742</v>
      </c>
      <c r="C716" s="1">
        <v>45143.760633865742</v>
      </c>
      <c r="D716" t="s">
        <v>172</v>
      </c>
      <c r="E716" t="s">
        <v>14</v>
      </c>
      <c r="F716" t="s">
        <v>18</v>
      </c>
      <c r="G716" t="s">
        <v>29</v>
      </c>
      <c r="H716">
        <v>3</v>
      </c>
      <c r="I716">
        <v>601</v>
      </c>
      <c r="J716">
        <v>1803</v>
      </c>
      <c r="K716" t="str">
        <f>TEXT(Table1[[#This Row],[Date]],"dddd")</f>
        <v>Saturday</v>
      </c>
      <c r="L716" t="str">
        <f>TEXT(Table1[[#This Row],[Date]],"mmm-yyyy")</f>
        <v>Aug-2023</v>
      </c>
      <c r="M716">
        <f>HOUR(Table1[[#This Row],[Time]])</f>
        <v>18</v>
      </c>
    </row>
    <row r="717" spans="1:13" x14ac:dyDescent="0.3">
      <c r="A717">
        <v>1716</v>
      </c>
      <c r="B717" s="3">
        <v>45144.064220185188</v>
      </c>
      <c r="C717" s="1">
        <v>45144.064220185188</v>
      </c>
      <c r="D717" t="s">
        <v>124</v>
      </c>
      <c r="E717" t="s">
        <v>28</v>
      </c>
      <c r="F717" t="s">
        <v>11</v>
      </c>
      <c r="G717" t="s">
        <v>40</v>
      </c>
      <c r="H717">
        <v>4</v>
      </c>
      <c r="I717">
        <v>927</v>
      </c>
      <c r="J717">
        <v>3708</v>
      </c>
      <c r="K717" t="str">
        <f>TEXT(Table1[[#This Row],[Date]],"dddd")</f>
        <v>Sunday</v>
      </c>
      <c r="L717" t="str">
        <f>TEXT(Table1[[#This Row],[Date]],"mmm-yyyy")</f>
        <v>Aug-2023</v>
      </c>
      <c r="M717">
        <f>HOUR(Table1[[#This Row],[Time]])</f>
        <v>1</v>
      </c>
    </row>
    <row r="718" spans="1:13" x14ac:dyDescent="0.3">
      <c r="A718">
        <v>1717</v>
      </c>
      <c r="B718" s="3">
        <v>45144.367806504626</v>
      </c>
      <c r="C718" s="1">
        <v>45144.367806504626</v>
      </c>
      <c r="D718" t="s">
        <v>138</v>
      </c>
      <c r="E718" t="s">
        <v>17</v>
      </c>
      <c r="F718" t="s">
        <v>18</v>
      </c>
      <c r="G718" t="s">
        <v>56</v>
      </c>
      <c r="H718">
        <v>2</v>
      </c>
      <c r="I718">
        <v>480</v>
      </c>
      <c r="J718">
        <v>960</v>
      </c>
      <c r="K718" t="str">
        <f>TEXT(Table1[[#This Row],[Date]],"dddd")</f>
        <v>Sunday</v>
      </c>
      <c r="L718" t="str">
        <f>TEXT(Table1[[#This Row],[Date]],"mmm-yyyy")</f>
        <v>Aug-2023</v>
      </c>
      <c r="M718">
        <f>HOUR(Table1[[#This Row],[Time]])</f>
        <v>8</v>
      </c>
    </row>
    <row r="719" spans="1:13" x14ac:dyDescent="0.3">
      <c r="A719">
        <v>1718</v>
      </c>
      <c r="B719" s="3">
        <v>45144.671392824072</v>
      </c>
      <c r="C719" s="1">
        <v>45144.671392824072</v>
      </c>
      <c r="D719" t="s">
        <v>60</v>
      </c>
      <c r="E719" t="s">
        <v>17</v>
      </c>
      <c r="F719" t="s">
        <v>15</v>
      </c>
      <c r="G719" t="s">
        <v>35</v>
      </c>
      <c r="H719">
        <v>2</v>
      </c>
      <c r="I719">
        <v>722</v>
      </c>
      <c r="J719">
        <v>1444</v>
      </c>
      <c r="K719" t="str">
        <f>TEXT(Table1[[#This Row],[Date]],"dddd")</f>
        <v>Sunday</v>
      </c>
      <c r="L719" t="str">
        <f>TEXT(Table1[[#This Row],[Date]],"mmm-yyyy")</f>
        <v>Aug-2023</v>
      </c>
      <c r="M719">
        <f>HOUR(Table1[[#This Row],[Time]])</f>
        <v>16</v>
      </c>
    </row>
    <row r="720" spans="1:13" x14ac:dyDescent="0.3">
      <c r="A720">
        <v>1719</v>
      </c>
      <c r="B720" s="3">
        <v>45144.974979143517</v>
      </c>
      <c r="C720" s="1">
        <v>45144.974979143517</v>
      </c>
      <c r="D720" t="s">
        <v>269</v>
      </c>
      <c r="E720" t="s">
        <v>28</v>
      </c>
      <c r="F720" t="s">
        <v>18</v>
      </c>
      <c r="G720" t="s">
        <v>42</v>
      </c>
      <c r="H720">
        <v>2</v>
      </c>
      <c r="I720">
        <v>113</v>
      </c>
      <c r="J720">
        <v>226</v>
      </c>
      <c r="K720" t="str">
        <f>TEXT(Table1[[#This Row],[Date]],"dddd")</f>
        <v>Sunday</v>
      </c>
      <c r="L720" t="str">
        <f>TEXT(Table1[[#This Row],[Date]],"mmm-yyyy")</f>
        <v>Aug-2023</v>
      </c>
      <c r="M720">
        <f>HOUR(Table1[[#This Row],[Time]])</f>
        <v>23</v>
      </c>
    </row>
    <row r="721" spans="1:13" x14ac:dyDescent="0.3">
      <c r="A721">
        <v>1720</v>
      </c>
      <c r="B721" s="3">
        <v>45145.278565474538</v>
      </c>
      <c r="C721" s="1">
        <v>45145.278565474538</v>
      </c>
      <c r="D721" t="s">
        <v>153</v>
      </c>
      <c r="E721" t="s">
        <v>14</v>
      </c>
      <c r="F721" t="s">
        <v>18</v>
      </c>
      <c r="G721" t="s">
        <v>33</v>
      </c>
      <c r="H721">
        <v>2</v>
      </c>
      <c r="I721">
        <v>603</v>
      </c>
      <c r="J721">
        <v>1206</v>
      </c>
      <c r="K721" t="str">
        <f>TEXT(Table1[[#This Row],[Date]],"dddd")</f>
        <v>Monday</v>
      </c>
      <c r="L721" t="str">
        <f>TEXT(Table1[[#This Row],[Date]],"mmm-yyyy")</f>
        <v>Aug-2023</v>
      </c>
      <c r="M721">
        <f>HOUR(Table1[[#This Row],[Time]])</f>
        <v>6</v>
      </c>
    </row>
    <row r="722" spans="1:13" x14ac:dyDescent="0.3">
      <c r="A722">
        <v>1721</v>
      </c>
      <c r="B722" s="3">
        <v>45145.582151793984</v>
      </c>
      <c r="C722" s="1">
        <v>45145.582151793984</v>
      </c>
      <c r="D722" t="s">
        <v>166</v>
      </c>
      <c r="E722" t="s">
        <v>17</v>
      </c>
      <c r="F722" t="s">
        <v>18</v>
      </c>
      <c r="G722" t="s">
        <v>25</v>
      </c>
      <c r="H722">
        <v>3</v>
      </c>
      <c r="I722">
        <v>330</v>
      </c>
      <c r="J722">
        <v>990</v>
      </c>
      <c r="K722" t="str">
        <f>TEXT(Table1[[#This Row],[Date]],"dddd")</f>
        <v>Monday</v>
      </c>
      <c r="L722" t="str">
        <f>TEXT(Table1[[#This Row],[Date]],"mmm-yyyy")</f>
        <v>Aug-2023</v>
      </c>
      <c r="M722">
        <f>HOUR(Table1[[#This Row],[Time]])</f>
        <v>13</v>
      </c>
    </row>
    <row r="723" spans="1:13" x14ac:dyDescent="0.3">
      <c r="A723">
        <v>1722</v>
      </c>
      <c r="B723" s="3">
        <v>45145.885738113429</v>
      </c>
      <c r="C723" s="1">
        <v>45145.885738113429</v>
      </c>
      <c r="D723" t="s">
        <v>283</v>
      </c>
      <c r="E723" t="s">
        <v>28</v>
      </c>
      <c r="F723" t="s">
        <v>15</v>
      </c>
      <c r="G723" t="s">
        <v>33</v>
      </c>
      <c r="H723">
        <v>3</v>
      </c>
      <c r="I723">
        <v>183</v>
      </c>
      <c r="J723">
        <v>549</v>
      </c>
      <c r="K723" t="str">
        <f>TEXT(Table1[[#This Row],[Date]],"dddd")</f>
        <v>Monday</v>
      </c>
      <c r="L723" t="str">
        <f>TEXT(Table1[[#This Row],[Date]],"mmm-yyyy")</f>
        <v>Aug-2023</v>
      </c>
      <c r="M723">
        <f>HOUR(Table1[[#This Row],[Time]])</f>
        <v>21</v>
      </c>
    </row>
    <row r="724" spans="1:13" x14ac:dyDescent="0.3">
      <c r="A724">
        <v>1723</v>
      </c>
      <c r="B724" s="3">
        <v>45146.189324432868</v>
      </c>
      <c r="C724" s="1">
        <v>45146.189324432868</v>
      </c>
      <c r="D724" t="s">
        <v>78</v>
      </c>
      <c r="E724" t="s">
        <v>28</v>
      </c>
      <c r="F724" t="s">
        <v>15</v>
      </c>
      <c r="G724" t="s">
        <v>40</v>
      </c>
      <c r="H724">
        <v>2</v>
      </c>
      <c r="I724">
        <v>229</v>
      </c>
      <c r="J724">
        <v>458</v>
      </c>
      <c r="K724" t="str">
        <f>TEXT(Table1[[#This Row],[Date]],"dddd")</f>
        <v>Tuesday</v>
      </c>
      <c r="L724" t="str">
        <f>TEXT(Table1[[#This Row],[Date]],"mmm-yyyy")</f>
        <v>Aug-2023</v>
      </c>
      <c r="M724">
        <f>HOUR(Table1[[#This Row],[Time]])</f>
        <v>4</v>
      </c>
    </row>
    <row r="725" spans="1:13" x14ac:dyDescent="0.3">
      <c r="A725">
        <v>1724</v>
      </c>
      <c r="B725" s="3">
        <v>45146.492910763889</v>
      </c>
      <c r="C725" s="1">
        <v>45146.492910763889</v>
      </c>
      <c r="D725" t="s">
        <v>89</v>
      </c>
      <c r="E725" t="s">
        <v>28</v>
      </c>
      <c r="F725" t="s">
        <v>15</v>
      </c>
      <c r="G725" t="s">
        <v>12</v>
      </c>
      <c r="H725">
        <v>4</v>
      </c>
      <c r="I725">
        <v>842</v>
      </c>
      <c r="J725">
        <v>3368</v>
      </c>
      <c r="K725" t="str">
        <f>TEXT(Table1[[#This Row],[Date]],"dddd")</f>
        <v>Tuesday</v>
      </c>
      <c r="L725" t="str">
        <f>TEXT(Table1[[#This Row],[Date]],"mmm-yyyy")</f>
        <v>Aug-2023</v>
      </c>
      <c r="M725">
        <f>HOUR(Table1[[#This Row],[Time]])</f>
        <v>11</v>
      </c>
    </row>
    <row r="726" spans="1:13" x14ac:dyDescent="0.3">
      <c r="A726">
        <v>1725</v>
      </c>
      <c r="B726" s="3">
        <v>45146.796497083335</v>
      </c>
      <c r="C726" s="1">
        <v>45146.796497083335</v>
      </c>
      <c r="D726" t="s">
        <v>241</v>
      </c>
      <c r="E726" t="s">
        <v>17</v>
      </c>
      <c r="F726" t="s">
        <v>11</v>
      </c>
      <c r="G726" t="s">
        <v>40</v>
      </c>
      <c r="H726">
        <v>1</v>
      </c>
      <c r="I726">
        <v>937</v>
      </c>
      <c r="J726">
        <v>937</v>
      </c>
      <c r="K726" t="str">
        <f>TEXT(Table1[[#This Row],[Date]],"dddd")</f>
        <v>Tuesday</v>
      </c>
      <c r="L726" t="str">
        <f>TEXT(Table1[[#This Row],[Date]],"mmm-yyyy")</f>
        <v>Aug-2023</v>
      </c>
      <c r="M726">
        <f>HOUR(Table1[[#This Row],[Time]])</f>
        <v>19</v>
      </c>
    </row>
    <row r="727" spans="1:13" x14ac:dyDescent="0.3">
      <c r="A727">
        <v>1726</v>
      </c>
      <c r="B727" s="3">
        <v>45147.10008340278</v>
      </c>
      <c r="C727" s="1">
        <v>45147.10008340278</v>
      </c>
      <c r="D727" t="s">
        <v>123</v>
      </c>
      <c r="E727" t="s">
        <v>14</v>
      </c>
      <c r="F727" t="s">
        <v>24</v>
      </c>
      <c r="G727" t="s">
        <v>12</v>
      </c>
      <c r="H727">
        <v>1</v>
      </c>
      <c r="I727">
        <v>244</v>
      </c>
      <c r="J727">
        <v>244</v>
      </c>
      <c r="K727" t="str">
        <f>TEXT(Table1[[#This Row],[Date]],"dddd")</f>
        <v>Wednesday</v>
      </c>
      <c r="L727" t="str">
        <f>TEXT(Table1[[#This Row],[Date]],"mmm-yyyy")</f>
        <v>Aug-2023</v>
      </c>
      <c r="M727">
        <f>HOUR(Table1[[#This Row],[Time]])</f>
        <v>2</v>
      </c>
    </row>
    <row r="728" spans="1:13" x14ac:dyDescent="0.3">
      <c r="A728">
        <v>1727</v>
      </c>
      <c r="B728" s="3">
        <v>45147.403669722225</v>
      </c>
      <c r="C728" s="1">
        <v>45147.403669722225</v>
      </c>
      <c r="D728" t="s">
        <v>281</v>
      </c>
      <c r="E728" t="s">
        <v>14</v>
      </c>
      <c r="F728" t="s">
        <v>18</v>
      </c>
      <c r="G728" t="s">
        <v>40</v>
      </c>
      <c r="H728">
        <v>4</v>
      </c>
      <c r="I728">
        <v>990</v>
      </c>
      <c r="J728">
        <v>3960</v>
      </c>
      <c r="K728" t="str">
        <f>TEXT(Table1[[#This Row],[Date]],"dddd")</f>
        <v>Wednesday</v>
      </c>
      <c r="L728" t="str">
        <f>TEXT(Table1[[#This Row],[Date]],"mmm-yyyy")</f>
        <v>Aug-2023</v>
      </c>
      <c r="M728">
        <f>HOUR(Table1[[#This Row],[Time]])</f>
        <v>9</v>
      </c>
    </row>
    <row r="729" spans="1:13" x14ac:dyDescent="0.3">
      <c r="A729">
        <v>1728</v>
      </c>
      <c r="B729" s="3">
        <v>45147.707256041664</v>
      </c>
      <c r="C729" s="1">
        <v>45147.707256041664</v>
      </c>
      <c r="D729" t="s">
        <v>160</v>
      </c>
      <c r="E729" t="s">
        <v>28</v>
      </c>
      <c r="F729" t="s">
        <v>39</v>
      </c>
      <c r="G729" t="s">
        <v>29</v>
      </c>
      <c r="H729">
        <v>2</v>
      </c>
      <c r="I729">
        <v>956</v>
      </c>
      <c r="J729">
        <v>1912</v>
      </c>
      <c r="K729" t="str">
        <f>TEXT(Table1[[#This Row],[Date]],"dddd")</f>
        <v>Wednesday</v>
      </c>
      <c r="L729" t="str">
        <f>TEXT(Table1[[#This Row],[Date]],"mmm-yyyy")</f>
        <v>Aug-2023</v>
      </c>
      <c r="M729">
        <f>HOUR(Table1[[#This Row],[Time]])</f>
        <v>16</v>
      </c>
    </row>
    <row r="730" spans="1:13" x14ac:dyDescent="0.3">
      <c r="A730">
        <v>1729</v>
      </c>
      <c r="B730" s="3">
        <v>45148.010842372685</v>
      </c>
      <c r="C730" s="1">
        <v>45148.010842372685</v>
      </c>
      <c r="D730" t="s">
        <v>72</v>
      </c>
      <c r="E730" t="s">
        <v>28</v>
      </c>
      <c r="F730" t="s">
        <v>39</v>
      </c>
      <c r="G730" t="s">
        <v>35</v>
      </c>
      <c r="H730">
        <v>3</v>
      </c>
      <c r="I730">
        <v>127</v>
      </c>
      <c r="J730">
        <v>381</v>
      </c>
      <c r="K730" t="str">
        <f>TEXT(Table1[[#This Row],[Date]],"dddd")</f>
        <v>Thursday</v>
      </c>
      <c r="L730" t="str">
        <f>TEXT(Table1[[#This Row],[Date]],"mmm-yyyy")</f>
        <v>Aug-2023</v>
      </c>
      <c r="M730">
        <f>HOUR(Table1[[#This Row],[Time]])</f>
        <v>0</v>
      </c>
    </row>
    <row r="731" spans="1:13" x14ac:dyDescent="0.3">
      <c r="A731">
        <v>1730</v>
      </c>
      <c r="B731" s="3">
        <v>45148.314428692131</v>
      </c>
      <c r="C731" s="1">
        <v>45148.314428692131</v>
      </c>
      <c r="D731" t="s">
        <v>94</v>
      </c>
      <c r="E731" t="s">
        <v>14</v>
      </c>
      <c r="F731" t="s">
        <v>24</v>
      </c>
      <c r="G731" t="s">
        <v>25</v>
      </c>
      <c r="H731">
        <v>1</v>
      </c>
      <c r="I731">
        <v>165</v>
      </c>
      <c r="J731">
        <v>165</v>
      </c>
      <c r="K731" t="str">
        <f>TEXT(Table1[[#This Row],[Date]],"dddd")</f>
        <v>Thursday</v>
      </c>
      <c r="L731" t="str">
        <f>TEXT(Table1[[#This Row],[Date]],"mmm-yyyy")</f>
        <v>Aug-2023</v>
      </c>
      <c r="M731">
        <f>HOUR(Table1[[#This Row],[Time]])</f>
        <v>7</v>
      </c>
    </row>
    <row r="732" spans="1:13" x14ac:dyDescent="0.3">
      <c r="A732">
        <v>1731</v>
      </c>
      <c r="B732" s="3">
        <v>45148.618015011576</v>
      </c>
      <c r="C732" s="1">
        <v>45148.618015011576</v>
      </c>
      <c r="D732" t="s">
        <v>160</v>
      </c>
      <c r="E732" t="s">
        <v>28</v>
      </c>
      <c r="F732" t="s">
        <v>18</v>
      </c>
      <c r="G732" t="s">
        <v>22</v>
      </c>
      <c r="H732">
        <v>5</v>
      </c>
      <c r="I732">
        <v>262</v>
      </c>
      <c r="J732">
        <v>1310</v>
      </c>
      <c r="K732" t="str">
        <f>TEXT(Table1[[#This Row],[Date]],"dddd")</f>
        <v>Thursday</v>
      </c>
      <c r="L732" t="str">
        <f>TEXT(Table1[[#This Row],[Date]],"mmm-yyyy")</f>
        <v>Aug-2023</v>
      </c>
      <c r="M732">
        <f>HOUR(Table1[[#This Row],[Time]])</f>
        <v>14</v>
      </c>
    </row>
    <row r="733" spans="1:13" x14ac:dyDescent="0.3">
      <c r="A733">
        <v>1732</v>
      </c>
      <c r="B733" s="3">
        <v>45148.921601331022</v>
      </c>
      <c r="C733" s="1">
        <v>45148.921601331022</v>
      </c>
      <c r="D733" t="s">
        <v>64</v>
      </c>
      <c r="E733" t="s">
        <v>28</v>
      </c>
      <c r="F733" t="s">
        <v>18</v>
      </c>
      <c r="G733" t="s">
        <v>22</v>
      </c>
      <c r="H733">
        <v>5</v>
      </c>
      <c r="I733">
        <v>328</v>
      </c>
      <c r="J733">
        <v>1640</v>
      </c>
      <c r="K733" t="str">
        <f>TEXT(Table1[[#This Row],[Date]],"dddd")</f>
        <v>Thursday</v>
      </c>
      <c r="L733" t="str">
        <f>TEXT(Table1[[#This Row],[Date]],"mmm-yyyy")</f>
        <v>Aug-2023</v>
      </c>
      <c r="M733">
        <f>HOUR(Table1[[#This Row],[Time]])</f>
        <v>22</v>
      </c>
    </row>
    <row r="734" spans="1:13" x14ac:dyDescent="0.3">
      <c r="A734">
        <v>1733</v>
      </c>
      <c r="B734" s="3">
        <v>45149.225187662036</v>
      </c>
      <c r="C734" s="1">
        <v>45149.225187662036</v>
      </c>
      <c r="D734" t="s">
        <v>299</v>
      </c>
      <c r="E734" t="s">
        <v>14</v>
      </c>
      <c r="F734" t="s">
        <v>18</v>
      </c>
      <c r="G734" t="s">
        <v>56</v>
      </c>
      <c r="H734">
        <v>4</v>
      </c>
      <c r="I734">
        <v>360</v>
      </c>
      <c r="J734">
        <v>1440</v>
      </c>
      <c r="K734" t="str">
        <f>TEXT(Table1[[#This Row],[Date]],"dddd")</f>
        <v>Friday</v>
      </c>
      <c r="L734" t="str">
        <f>TEXT(Table1[[#This Row],[Date]],"mmm-yyyy")</f>
        <v>Aug-2023</v>
      </c>
      <c r="M734">
        <f>HOUR(Table1[[#This Row],[Time]])</f>
        <v>5</v>
      </c>
    </row>
    <row r="735" spans="1:13" x14ac:dyDescent="0.3">
      <c r="A735">
        <v>1734</v>
      </c>
      <c r="B735" s="3">
        <v>45149.528773981481</v>
      </c>
      <c r="C735" s="1">
        <v>45149.528773981481</v>
      </c>
      <c r="D735" t="s">
        <v>72</v>
      </c>
      <c r="E735" t="s">
        <v>17</v>
      </c>
      <c r="F735" t="s">
        <v>15</v>
      </c>
      <c r="G735" t="s">
        <v>29</v>
      </c>
      <c r="H735">
        <v>2</v>
      </c>
      <c r="I735">
        <v>548</v>
      </c>
      <c r="J735">
        <v>1096</v>
      </c>
      <c r="K735" t="str">
        <f>TEXT(Table1[[#This Row],[Date]],"dddd")</f>
        <v>Friday</v>
      </c>
      <c r="L735" t="str">
        <f>TEXT(Table1[[#This Row],[Date]],"mmm-yyyy")</f>
        <v>Aug-2023</v>
      </c>
      <c r="M735">
        <f>HOUR(Table1[[#This Row],[Time]])</f>
        <v>12</v>
      </c>
    </row>
    <row r="736" spans="1:13" x14ac:dyDescent="0.3">
      <c r="A736">
        <v>1735</v>
      </c>
      <c r="B736" s="3">
        <v>45149.832360300927</v>
      </c>
      <c r="C736" s="1">
        <v>45149.832360300927</v>
      </c>
      <c r="D736" t="s">
        <v>54</v>
      </c>
      <c r="E736" t="s">
        <v>28</v>
      </c>
      <c r="F736" t="s">
        <v>11</v>
      </c>
      <c r="G736" t="s">
        <v>40</v>
      </c>
      <c r="H736">
        <v>1</v>
      </c>
      <c r="I736">
        <v>523</v>
      </c>
      <c r="J736">
        <v>523</v>
      </c>
      <c r="K736" t="str">
        <f>TEXT(Table1[[#This Row],[Date]],"dddd")</f>
        <v>Friday</v>
      </c>
      <c r="L736" t="str">
        <f>TEXT(Table1[[#This Row],[Date]],"mmm-yyyy")</f>
        <v>Aug-2023</v>
      </c>
      <c r="M736">
        <f>HOUR(Table1[[#This Row],[Time]])</f>
        <v>19</v>
      </c>
    </row>
    <row r="737" spans="1:13" x14ac:dyDescent="0.3">
      <c r="A737">
        <v>1736</v>
      </c>
      <c r="B737" s="3">
        <v>45150.135946620372</v>
      </c>
      <c r="C737" s="1">
        <v>45150.135946620372</v>
      </c>
      <c r="D737" t="s">
        <v>295</v>
      </c>
      <c r="E737" t="s">
        <v>17</v>
      </c>
      <c r="F737" t="s">
        <v>15</v>
      </c>
      <c r="G737" t="s">
        <v>12</v>
      </c>
      <c r="H737">
        <v>2</v>
      </c>
      <c r="I737">
        <v>559</v>
      </c>
      <c r="J737">
        <v>1118</v>
      </c>
      <c r="K737" t="str">
        <f>TEXT(Table1[[#This Row],[Date]],"dddd")</f>
        <v>Saturday</v>
      </c>
      <c r="L737" t="str">
        <f>TEXT(Table1[[#This Row],[Date]],"mmm-yyyy")</f>
        <v>Aug-2023</v>
      </c>
      <c r="M737">
        <f>HOUR(Table1[[#This Row],[Time]])</f>
        <v>3</v>
      </c>
    </row>
    <row r="738" spans="1:13" x14ac:dyDescent="0.3">
      <c r="A738">
        <v>1737</v>
      </c>
      <c r="B738" s="3">
        <v>45150.439532939818</v>
      </c>
      <c r="C738" s="1">
        <v>45150.439532939818</v>
      </c>
      <c r="D738" t="s">
        <v>226</v>
      </c>
      <c r="E738" t="s">
        <v>28</v>
      </c>
      <c r="F738" t="s">
        <v>18</v>
      </c>
      <c r="G738" t="s">
        <v>35</v>
      </c>
      <c r="H738">
        <v>1</v>
      </c>
      <c r="I738">
        <v>775</v>
      </c>
      <c r="J738">
        <v>775</v>
      </c>
      <c r="K738" t="str">
        <f>TEXT(Table1[[#This Row],[Date]],"dddd")</f>
        <v>Saturday</v>
      </c>
      <c r="L738" t="str">
        <f>TEXT(Table1[[#This Row],[Date]],"mmm-yyyy")</f>
        <v>Aug-2023</v>
      </c>
      <c r="M738">
        <f>HOUR(Table1[[#This Row],[Time]])</f>
        <v>10</v>
      </c>
    </row>
    <row r="739" spans="1:13" x14ac:dyDescent="0.3">
      <c r="A739">
        <v>1738</v>
      </c>
      <c r="B739" s="3">
        <v>45150.743119270832</v>
      </c>
      <c r="C739" s="1">
        <v>45150.743119270832</v>
      </c>
      <c r="D739" t="s">
        <v>300</v>
      </c>
      <c r="E739" t="s">
        <v>28</v>
      </c>
      <c r="F739" t="s">
        <v>24</v>
      </c>
      <c r="G739" t="s">
        <v>40</v>
      </c>
      <c r="H739">
        <v>4</v>
      </c>
      <c r="I739">
        <v>400</v>
      </c>
      <c r="J739">
        <v>1600</v>
      </c>
      <c r="K739" t="str">
        <f>TEXT(Table1[[#This Row],[Date]],"dddd")</f>
        <v>Saturday</v>
      </c>
      <c r="L739" t="str">
        <f>TEXT(Table1[[#This Row],[Date]],"mmm-yyyy")</f>
        <v>Aug-2023</v>
      </c>
      <c r="M739">
        <f>HOUR(Table1[[#This Row],[Time]])</f>
        <v>17</v>
      </c>
    </row>
    <row r="740" spans="1:13" x14ac:dyDescent="0.3">
      <c r="A740">
        <v>1739</v>
      </c>
      <c r="B740" s="3">
        <v>45151.046705590277</v>
      </c>
      <c r="C740" s="1">
        <v>45151.046705590277</v>
      </c>
      <c r="D740" t="s">
        <v>223</v>
      </c>
      <c r="E740" t="s">
        <v>28</v>
      </c>
      <c r="F740" t="s">
        <v>18</v>
      </c>
      <c r="G740" t="s">
        <v>29</v>
      </c>
      <c r="H740">
        <v>4</v>
      </c>
      <c r="I740">
        <v>402</v>
      </c>
      <c r="J740">
        <v>1608</v>
      </c>
      <c r="K740" t="str">
        <f>TEXT(Table1[[#This Row],[Date]],"dddd")</f>
        <v>Sunday</v>
      </c>
      <c r="L740" t="str">
        <f>TEXT(Table1[[#This Row],[Date]],"mmm-yyyy")</f>
        <v>Aug-2023</v>
      </c>
      <c r="M740">
        <f>HOUR(Table1[[#This Row],[Time]])</f>
        <v>1</v>
      </c>
    </row>
    <row r="741" spans="1:13" x14ac:dyDescent="0.3">
      <c r="A741">
        <v>1740</v>
      </c>
      <c r="B741" s="3">
        <v>45151.350291909723</v>
      </c>
      <c r="C741" s="1">
        <v>45151.350291909723</v>
      </c>
      <c r="D741" t="s">
        <v>77</v>
      </c>
      <c r="E741" t="s">
        <v>10</v>
      </c>
      <c r="F741" t="s">
        <v>18</v>
      </c>
      <c r="G741" t="s">
        <v>22</v>
      </c>
      <c r="H741">
        <v>5</v>
      </c>
      <c r="I741">
        <v>386</v>
      </c>
      <c r="J741">
        <v>1930</v>
      </c>
      <c r="K741" t="str">
        <f>TEXT(Table1[[#This Row],[Date]],"dddd")</f>
        <v>Sunday</v>
      </c>
      <c r="L741" t="str">
        <f>TEXT(Table1[[#This Row],[Date]],"mmm-yyyy")</f>
        <v>Aug-2023</v>
      </c>
      <c r="M741">
        <f>HOUR(Table1[[#This Row],[Time]])</f>
        <v>8</v>
      </c>
    </row>
    <row r="742" spans="1:13" x14ac:dyDescent="0.3">
      <c r="A742">
        <v>1741</v>
      </c>
      <c r="B742" s="3">
        <v>45151.653878229168</v>
      </c>
      <c r="C742" s="1">
        <v>45151.653878229168</v>
      </c>
      <c r="D742" t="s">
        <v>265</v>
      </c>
      <c r="E742" t="s">
        <v>17</v>
      </c>
      <c r="F742" t="s">
        <v>11</v>
      </c>
      <c r="G742" t="s">
        <v>25</v>
      </c>
      <c r="H742">
        <v>2</v>
      </c>
      <c r="I742">
        <v>494</v>
      </c>
      <c r="J742">
        <v>988</v>
      </c>
      <c r="K742" t="str">
        <f>TEXT(Table1[[#This Row],[Date]],"dddd")</f>
        <v>Sunday</v>
      </c>
      <c r="L742" t="str">
        <f>TEXT(Table1[[#This Row],[Date]],"mmm-yyyy")</f>
        <v>Aug-2023</v>
      </c>
      <c r="M742">
        <f>HOUR(Table1[[#This Row],[Time]])</f>
        <v>15</v>
      </c>
    </row>
    <row r="743" spans="1:13" x14ac:dyDescent="0.3">
      <c r="A743">
        <v>1742</v>
      </c>
      <c r="B743" s="3">
        <v>45151.957464548614</v>
      </c>
      <c r="C743" s="1">
        <v>45151.957464548614</v>
      </c>
      <c r="D743" t="s">
        <v>196</v>
      </c>
      <c r="E743" t="s">
        <v>17</v>
      </c>
      <c r="F743" t="s">
        <v>18</v>
      </c>
      <c r="G743" t="s">
        <v>25</v>
      </c>
      <c r="H743">
        <v>5</v>
      </c>
      <c r="I743">
        <v>109</v>
      </c>
      <c r="J743">
        <v>545</v>
      </c>
      <c r="K743" t="str">
        <f>TEXT(Table1[[#This Row],[Date]],"dddd")</f>
        <v>Sunday</v>
      </c>
      <c r="L743" t="str">
        <f>TEXT(Table1[[#This Row],[Date]],"mmm-yyyy")</f>
        <v>Aug-2023</v>
      </c>
      <c r="M743">
        <f>HOUR(Table1[[#This Row],[Time]])</f>
        <v>22</v>
      </c>
    </row>
    <row r="744" spans="1:13" x14ac:dyDescent="0.3">
      <c r="A744">
        <v>1743</v>
      </c>
      <c r="B744" s="3">
        <v>45152.261050879628</v>
      </c>
      <c r="C744" s="1">
        <v>45152.261050879628</v>
      </c>
      <c r="D744" t="s">
        <v>75</v>
      </c>
      <c r="E744" t="s">
        <v>28</v>
      </c>
      <c r="F744" t="s">
        <v>15</v>
      </c>
      <c r="G744" t="s">
        <v>22</v>
      </c>
      <c r="H744">
        <v>2</v>
      </c>
      <c r="I744">
        <v>806</v>
      </c>
      <c r="J744">
        <v>1612</v>
      </c>
      <c r="K744" t="str">
        <f>TEXT(Table1[[#This Row],[Date]],"dddd")</f>
        <v>Monday</v>
      </c>
      <c r="L744" t="str">
        <f>TEXT(Table1[[#This Row],[Date]],"mmm-yyyy")</f>
        <v>Aug-2023</v>
      </c>
      <c r="M744">
        <f>HOUR(Table1[[#This Row],[Time]])</f>
        <v>6</v>
      </c>
    </row>
    <row r="745" spans="1:13" x14ac:dyDescent="0.3">
      <c r="A745">
        <v>1744</v>
      </c>
      <c r="B745" s="3">
        <v>45152.564637199073</v>
      </c>
      <c r="C745" s="1">
        <v>45152.564637199073</v>
      </c>
      <c r="D745" t="s">
        <v>301</v>
      </c>
      <c r="E745" t="s">
        <v>14</v>
      </c>
      <c r="F745" t="s">
        <v>39</v>
      </c>
      <c r="G745" t="s">
        <v>35</v>
      </c>
      <c r="H745">
        <v>5</v>
      </c>
      <c r="I745">
        <v>729</v>
      </c>
      <c r="J745">
        <v>3645</v>
      </c>
      <c r="K745" t="str">
        <f>TEXT(Table1[[#This Row],[Date]],"dddd")</f>
        <v>Monday</v>
      </c>
      <c r="L745" t="str">
        <f>TEXT(Table1[[#This Row],[Date]],"mmm-yyyy")</f>
        <v>Aug-2023</v>
      </c>
      <c r="M745">
        <f>HOUR(Table1[[#This Row],[Time]])</f>
        <v>13</v>
      </c>
    </row>
    <row r="746" spans="1:13" x14ac:dyDescent="0.3">
      <c r="A746">
        <v>1745</v>
      </c>
      <c r="B746" s="3">
        <v>45152.868223518519</v>
      </c>
      <c r="C746" s="1">
        <v>45152.868223518519</v>
      </c>
      <c r="D746" t="s">
        <v>131</v>
      </c>
      <c r="E746" t="s">
        <v>28</v>
      </c>
      <c r="F746" t="s">
        <v>11</v>
      </c>
      <c r="G746" t="s">
        <v>12</v>
      </c>
      <c r="H746">
        <v>3</v>
      </c>
      <c r="I746">
        <v>369</v>
      </c>
      <c r="J746">
        <v>1107</v>
      </c>
      <c r="K746" t="str">
        <f>TEXT(Table1[[#This Row],[Date]],"dddd")</f>
        <v>Monday</v>
      </c>
      <c r="L746" t="str">
        <f>TEXT(Table1[[#This Row],[Date]],"mmm-yyyy")</f>
        <v>Aug-2023</v>
      </c>
      <c r="M746">
        <f>HOUR(Table1[[#This Row],[Time]])</f>
        <v>20</v>
      </c>
    </row>
    <row r="747" spans="1:13" x14ac:dyDescent="0.3">
      <c r="A747">
        <v>1746</v>
      </c>
      <c r="B747" s="3">
        <v>45153.171809837964</v>
      </c>
      <c r="C747" s="1">
        <v>45153.171809837964</v>
      </c>
      <c r="D747" t="s">
        <v>218</v>
      </c>
      <c r="E747" t="s">
        <v>10</v>
      </c>
      <c r="F747" t="s">
        <v>11</v>
      </c>
      <c r="G747" t="s">
        <v>35</v>
      </c>
      <c r="H747">
        <v>3</v>
      </c>
      <c r="I747">
        <v>691</v>
      </c>
      <c r="J747">
        <v>2073</v>
      </c>
      <c r="K747" t="str">
        <f>TEXT(Table1[[#This Row],[Date]],"dddd")</f>
        <v>Tuesday</v>
      </c>
      <c r="L747" t="str">
        <f>TEXT(Table1[[#This Row],[Date]],"mmm-yyyy")</f>
        <v>Aug-2023</v>
      </c>
      <c r="M747">
        <f>HOUR(Table1[[#This Row],[Time]])</f>
        <v>4</v>
      </c>
    </row>
    <row r="748" spans="1:13" x14ac:dyDescent="0.3">
      <c r="A748">
        <v>1747</v>
      </c>
      <c r="B748" s="3">
        <v>45153.475396168978</v>
      </c>
      <c r="C748" s="1">
        <v>45153.475396168978</v>
      </c>
      <c r="D748" t="s">
        <v>189</v>
      </c>
      <c r="E748" t="s">
        <v>28</v>
      </c>
      <c r="F748" t="s">
        <v>11</v>
      </c>
      <c r="G748" t="s">
        <v>56</v>
      </c>
      <c r="H748">
        <v>3</v>
      </c>
      <c r="I748">
        <v>704</v>
      </c>
      <c r="J748">
        <v>2112</v>
      </c>
      <c r="K748" t="str">
        <f>TEXT(Table1[[#This Row],[Date]],"dddd")</f>
        <v>Tuesday</v>
      </c>
      <c r="L748" t="str">
        <f>TEXT(Table1[[#This Row],[Date]],"mmm-yyyy")</f>
        <v>Aug-2023</v>
      </c>
      <c r="M748">
        <f>HOUR(Table1[[#This Row],[Time]])</f>
        <v>11</v>
      </c>
    </row>
    <row r="749" spans="1:13" x14ac:dyDescent="0.3">
      <c r="A749">
        <v>1748</v>
      </c>
      <c r="B749" s="3">
        <v>45153.778982488424</v>
      </c>
      <c r="C749" s="1">
        <v>45153.778982488424</v>
      </c>
      <c r="D749" t="s">
        <v>87</v>
      </c>
      <c r="E749" t="s">
        <v>10</v>
      </c>
      <c r="F749" t="s">
        <v>18</v>
      </c>
      <c r="G749" t="s">
        <v>35</v>
      </c>
      <c r="H749">
        <v>3</v>
      </c>
      <c r="I749">
        <v>877</v>
      </c>
      <c r="J749">
        <v>2631</v>
      </c>
      <c r="K749" t="str">
        <f>TEXT(Table1[[#This Row],[Date]],"dddd")</f>
        <v>Tuesday</v>
      </c>
      <c r="L749" t="str">
        <f>TEXT(Table1[[#This Row],[Date]],"mmm-yyyy")</f>
        <v>Aug-2023</v>
      </c>
      <c r="M749">
        <f>HOUR(Table1[[#This Row],[Time]])</f>
        <v>18</v>
      </c>
    </row>
    <row r="750" spans="1:13" x14ac:dyDescent="0.3">
      <c r="A750">
        <v>1749</v>
      </c>
      <c r="B750" s="3">
        <v>45154.082568807869</v>
      </c>
      <c r="C750" s="1">
        <v>45154.082568807869</v>
      </c>
      <c r="D750" t="s">
        <v>150</v>
      </c>
      <c r="E750" t="s">
        <v>28</v>
      </c>
      <c r="F750" t="s">
        <v>11</v>
      </c>
      <c r="G750" t="s">
        <v>35</v>
      </c>
      <c r="H750">
        <v>1</v>
      </c>
      <c r="I750">
        <v>943</v>
      </c>
      <c r="J750">
        <v>943</v>
      </c>
      <c r="K750" t="str">
        <f>TEXT(Table1[[#This Row],[Date]],"dddd")</f>
        <v>Wednesday</v>
      </c>
      <c r="L750" t="str">
        <f>TEXT(Table1[[#This Row],[Date]],"mmm-yyyy")</f>
        <v>Aug-2023</v>
      </c>
      <c r="M750">
        <f>HOUR(Table1[[#This Row],[Time]])</f>
        <v>1</v>
      </c>
    </row>
    <row r="751" spans="1:13" x14ac:dyDescent="0.3">
      <c r="A751">
        <v>1750</v>
      </c>
      <c r="B751" s="3">
        <v>45154.386155127315</v>
      </c>
      <c r="C751" s="1">
        <v>45154.386155127315</v>
      </c>
      <c r="D751" t="s">
        <v>16</v>
      </c>
      <c r="E751" t="s">
        <v>17</v>
      </c>
      <c r="F751" t="s">
        <v>11</v>
      </c>
      <c r="G751" t="s">
        <v>22</v>
      </c>
      <c r="H751">
        <v>3</v>
      </c>
      <c r="I751">
        <v>961</v>
      </c>
      <c r="J751">
        <v>2883</v>
      </c>
      <c r="K751" t="str">
        <f>TEXT(Table1[[#This Row],[Date]],"dddd")</f>
        <v>Wednesday</v>
      </c>
      <c r="L751" t="str">
        <f>TEXT(Table1[[#This Row],[Date]],"mmm-yyyy")</f>
        <v>Aug-2023</v>
      </c>
      <c r="M751">
        <f>HOUR(Table1[[#This Row],[Time]])</f>
        <v>9</v>
      </c>
    </row>
    <row r="752" spans="1:13" x14ac:dyDescent="0.3">
      <c r="A752">
        <v>1751</v>
      </c>
      <c r="B752" s="3">
        <v>45154.68974144676</v>
      </c>
      <c r="C752" s="1">
        <v>45154.68974144676</v>
      </c>
      <c r="D752" t="s">
        <v>74</v>
      </c>
      <c r="E752" t="s">
        <v>28</v>
      </c>
      <c r="F752" t="s">
        <v>15</v>
      </c>
      <c r="G752" t="s">
        <v>22</v>
      </c>
      <c r="H752">
        <v>4</v>
      </c>
      <c r="I752">
        <v>460</v>
      </c>
      <c r="J752">
        <v>1840</v>
      </c>
      <c r="K752" t="str">
        <f>TEXT(Table1[[#This Row],[Date]],"dddd")</f>
        <v>Wednesday</v>
      </c>
      <c r="L752" t="str">
        <f>TEXT(Table1[[#This Row],[Date]],"mmm-yyyy")</f>
        <v>Aug-2023</v>
      </c>
      <c r="M752">
        <f>HOUR(Table1[[#This Row],[Time]])</f>
        <v>16</v>
      </c>
    </row>
    <row r="753" spans="1:13" x14ac:dyDescent="0.3">
      <c r="A753">
        <v>1752</v>
      </c>
      <c r="B753" s="3">
        <v>45154.993327777775</v>
      </c>
      <c r="C753" s="1">
        <v>45154.993327777775</v>
      </c>
      <c r="D753" t="s">
        <v>179</v>
      </c>
      <c r="E753" t="s">
        <v>17</v>
      </c>
      <c r="F753" t="s">
        <v>24</v>
      </c>
      <c r="G753" t="s">
        <v>19</v>
      </c>
      <c r="H753">
        <v>4</v>
      </c>
      <c r="I753">
        <v>356</v>
      </c>
      <c r="J753">
        <v>1424</v>
      </c>
      <c r="K753" t="str">
        <f>TEXT(Table1[[#This Row],[Date]],"dddd")</f>
        <v>Wednesday</v>
      </c>
      <c r="L753" t="str">
        <f>TEXT(Table1[[#This Row],[Date]],"mmm-yyyy")</f>
        <v>Aug-2023</v>
      </c>
      <c r="M753">
        <f>HOUR(Table1[[#This Row],[Time]])</f>
        <v>23</v>
      </c>
    </row>
    <row r="754" spans="1:13" x14ac:dyDescent="0.3">
      <c r="A754">
        <v>1753</v>
      </c>
      <c r="B754" s="3">
        <v>45155.29691409722</v>
      </c>
      <c r="C754" s="1">
        <v>45155.29691409722</v>
      </c>
      <c r="D754" t="s">
        <v>124</v>
      </c>
      <c r="E754" t="s">
        <v>14</v>
      </c>
      <c r="F754" t="s">
        <v>15</v>
      </c>
      <c r="G754" t="s">
        <v>56</v>
      </c>
      <c r="H754">
        <v>1</v>
      </c>
      <c r="I754">
        <v>232</v>
      </c>
      <c r="J754">
        <v>232</v>
      </c>
      <c r="K754" t="str">
        <f>TEXT(Table1[[#This Row],[Date]],"dddd")</f>
        <v>Thursday</v>
      </c>
      <c r="L754" t="str">
        <f>TEXT(Table1[[#This Row],[Date]],"mmm-yyyy")</f>
        <v>Aug-2023</v>
      </c>
      <c r="M754">
        <f>HOUR(Table1[[#This Row],[Time]])</f>
        <v>7</v>
      </c>
    </row>
    <row r="755" spans="1:13" x14ac:dyDescent="0.3">
      <c r="A755">
        <v>1754</v>
      </c>
      <c r="B755" s="3">
        <v>45155.600500416665</v>
      </c>
      <c r="C755" s="1">
        <v>45155.600500416665</v>
      </c>
      <c r="D755" t="s">
        <v>302</v>
      </c>
      <c r="E755" t="s">
        <v>14</v>
      </c>
      <c r="F755" t="s">
        <v>15</v>
      </c>
      <c r="G755" t="s">
        <v>42</v>
      </c>
      <c r="H755">
        <v>3</v>
      </c>
      <c r="I755">
        <v>375</v>
      </c>
      <c r="J755">
        <v>1125</v>
      </c>
      <c r="K755" t="str">
        <f>TEXT(Table1[[#This Row],[Date]],"dddd")</f>
        <v>Thursday</v>
      </c>
      <c r="L755" t="str">
        <f>TEXT(Table1[[#This Row],[Date]],"mmm-yyyy")</f>
        <v>Aug-2023</v>
      </c>
      <c r="M755">
        <f>HOUR(Table1[[#This Row],[Time]])</f>
        <v>14</v>
      </c>
    </row>
    <row r="756" spans="1:13" x14ac:dyDescent="0.3">
      <c r="A756">
        <v>1755</v>
      </c>
      <c r="B756" s="3">
        <v>45155.904086736111</v>
      </c>
      <c r="C756" s="1">
        <v>45155.904086736111</v>
      </c>
      <c r="D756" t="s">
        <v>150</v>
      </c>
      <c r="E756" t="s">
        <v>28</v>
      </c>
      <c r="F756" t="s">
        <v>24</v>
      </c>
      <c r="G756" t="s">
        <v>22</v>
      </c>
      <c r="H756">
        <v>3</v>
      </c>
      <c r="I756">
        <v>875</v>
      </c>
      <c r="J756">
        <v>2625</v>
      </c>
      <c r="K756" t="str">
        <f>TEXT(Table1[[#This Row],[Date]],"dddd")</f>
        <v>Thursday</v>
      </c>
      <c r="L756" t="str">
        <f>TEXT(Table1[[#This Row],[Date]],"mmm-yyyy")</f>
        <v>Aug-2023</v>
      </c>
      <c r="M756">
        <f>HOUR(Table1[[#This Row],[Time]])</f>
        <v>21</v>
      </c>
    </row>
    <row r="757" spans="1:13" x14ac:dyDescent="0.3">
      <c r="A757">
        <v>1756</v>
      </c>
      <c r="B757" s="3">
        <v>45156.207673055556</v>
      </c>
      <c r="C757" s="1">
        <v>45156.207673055556</v>
      </c>
      <c r="D757" t="s">
        <v>297</v>
      </c>
      <c r="E757" t="s">
        <v>28</v>
      </c>
      <c r="F757" t="s">
        <v>24</v>
      </c>
      <c r="G757" t="s">
        <v>29</v>
      </c>
      <c r="H757">
        <v>3</v>
      </c>
      <c r="I757">
        <v>782</v>
      </c>
      <c r="J757">
        <v>2346</v>
      </c>
      <c r="K757" t="str">
        <f>TEXT(Table1[[#This Row],[Date]],"dddd")</f>
        <v>Friday</v>
      </c>
      <c r="L757" t="str">
        <f>TEXT(Table1[[#This Row],[Date]],"mmm-yyyy")</f>
        <v>Aug-2023</v>
      </c>
      <c r="M757">
        <f>HOUR(Table1[[#This Row],[Time]])</f>
        <v>4</v>
      </c>
    </row>
    <row r="758" spans="1:13" x14ac:dyDescent="0.3">
      <c r="A758">
        <v>1757</v>
      </c>
      <c r="B758" s="3">
        <v>45156.511259386571</v>
      </c>
      <c r="C758" s="1">
        <v>45156.511259386571</v>
      </c>
      <c r="D758" t="s">
        <v>26</v>
      </c>
      <c r="E758" t="s">
        <v>14</v>
      </c>
      <c r="F758" t="s">
        <v>11</v>
      </c>
      <c r="G758" t="s">
        <v>29</v>
      </c>
      <c r="H758">
        <v>5</v>
      </c>
      <c r="I758">
        <v>612</v>
      </c>
      <c r="J758">
        <v>3060</v>
      </c>
      <c r="K758" t="str">
        <f>TEXT(Table1[[#This Row],[Date]],"dddd")</f>
        <v>Friday</v>
      </c>
      <c r="L758" t="str">
        <f>TEXT(Table1[[#This Row],[Date]],"mmm-yyyy")</f>
        <v>Aug-2023</v>
      </c>
      <c r="M758">
        <f>HOUR(Table1[[#This Row],[Time]])</f>
        <v>12</v>
      </c>
    </row>
    <row r="759" spans="1:13" x14ac:dyDescent="0.3">
      <c r="A759">
        <v>1758</v>
      </c>
      <c r="B759" s="3">
        <v>45156.814845706016</v>
      </c>
      <c r="C759" s="1">
        <v>45156.814845706016</v>
      </c>
      <c r="D759" t="s">
        <v>293</v>
      </c>
      <c r="E759" t="s">
        <v>10</v>
      </c>
      <c r="F759" t="s">
        <v>15</v>
      </c>
      <c r="G759" t="s">
        <v>19</v>
      </c>
      <c r="H759">
        <v>2</v>
      </c>
      <c r="I759">
        <v>412</v>
      </c>
      <c r="J759">
        <v>824</v>
      </c>
      <c r="K759" t="str">
        <f>TEXT(Table1[[#This Row],[Date]],"dddd")</f>
        <v>Friday</v>
      </c>
      <c r="L759" t="str">
        <f>TEXT(Table1[[#This Row],[Date]],"mmm-yyyy")</f>
        <v>Aug-2023</v>
      </c>
      <c r="M759">
        <f>HOUR(Table1[[#This Row],[Time]])</f>
        <v>19</v>
      </c>
    </row>
    <row r="760" spans="1:13" x14ac:dyDescent="0.3">
      <c r="A760">
        <v>1759</v>
      </c>
      <c r="B760" s="3">
        <v>45157.118432025462</v>
      </c>
      <c r="C760" s="1">
        <v>45157.118432025462</v>
      </c>
      <c r="D760" t="s">
        <v>303</v>
      </c>
      <c r="E760" t="s">
        <v>14</v>
      </c>
      <c r="F760" t="s">
        <v>18</v>
      </c>
      <c r="G760" t="s">
        <v>12</v>
      </c>
      <c r="H760">
        <v>5</v>
      </c>
      <c r="I760">
        <v>675</v>
      </c>
      <c r="J760">
        <v>3375</v>
      </c>
      <c r="K760" t="str">
        <f>TEXT(Table1[[#This Row],[Date]],"dddd")</f>
        <v>Saturday</v>
      </c>
      <c r="L760" t="str">
        <f>TEXT(Table1[[#This Row],[Date]],"mmm-yyyy")</f>
        <v>Aug-2023</v>
      </c>
      <c r="M760">
        <f>HOUR(Table1[[#This Row],[Time]])</f>
        <v>2</v>
      </c>
    </row>
    <row r="761" spans="1:13" x14ac:dyDescent="0.3">
      <c r="A761">
        <v>1760</v>
      </c>
      <c r="B761" s="3">
        <v>45157.422018344907</v>
      </c>
      <c r="C761" s="1">
        <v>45157.422018344907</v>
      </c>
      <c r="D761" t="s">
        <v>216</v>
      </c>
      <c r="E761" t="s">
        <v>14</v>
      </c>
      <c r="F761" t="s">
        <v>39</v>
      </c>
      <c r="G761" t="s">
        <v>22</v>
      </c>
      <c r="H761">
        <v>2</v>
      </c>
      <c r="I761">
        <v>985</v>
      </c>
      <c r="J761">
        <v>1970</v>
      </c>
      <c r="K761" t="str">
        <f>TEXT(Table1[[#This Row],[Date]],"dddd")</f>
        <v>Saturday</v>
      </c>
      <c r="L761" t="str">
        <f>TEXT(Table1[[#This Row],[Date]],"mmm-yyyy")</f>
        <v>Aug-2023</v>
      </c>
      <c r="M761">
        <f>HOUR(Table1[[#This Row],[Time]])</f>
        <v>10</v>
      </c>
    </row>
    <row r="762" spans="1:13" x14ac:dyDescent="0.3">
      <c r="A762">
        <v>1761</v>
      </c>
      <c r="B762" s="3">
        <v>45157.725604675928</v>
      </c>
      <c r="C762" s="1">
        <v>45157.725604675928</v>
      </c>
      <c r="D762" t="s">
        <v>238</v>
      </c>
      <c r="E762" t="s">
        <v>10</v>
      </c>
      <c r="F762" t="s">
        <v>39</v>
      </c>
      <c r="G762" t="s">
        <v>56</v>
      </c>
      <c r="H762">
        <v>3</v>
      </c>
      <c r="I762">
        <v>383</v>
      </c>
      <c r="J762">
        <v>1149</v>
      </c>
      <c r="K762" t="str">
        <f>TEXT(Table1[[#This Row],[Date]],"dddd")</f>
        <v>Saturday</v>
      </c>
      <c r="L762" t="str">
        <f>TEXT(Table1[[#This Row],[Date]],"mmm-yyyy")</f>
        <v>Aug-2023</v>
      </c>
      <c r="M762">
        <f>HOUR(Table1[[#This Row],[Time]])</f>
        <v>17</v>
      </c>
    </row>
    <row r="763" spans="1:13" x14ac:dyDescent="0.3">
      <c r="A763">
        <v>1762</v>
      </c>
      <c r="B763" s="3">
        <v>45158.029190995374</v>
      </c>
      <c r="C763" s="1">
        <v>45158.029190995374</v>
      </c>
      <c r="D763" t="s">
        <v>304</v>
      </c>
      <c r="E763" t="s">
        <v>14</v>
      </c>
      <c r="F763" t="s">
        <v>39</v>
      </c>
      <c r="G763" t="s">
        <v>22</v>
      </c>
      <c r="H763">
        <v>3</v>
      </c>
      <c r="I763">
        <v>220</v>
      </c>
      <c r="J763">
        <v>660</v>
      </c>
      <c r="K763" t="str">
        <f>TEXT(Table1[[#This Row],[Date]],"dddd")</f>
        <v>Sunday</v>
      </c>
      <c r="L763" t="str">
        <f>TEXT(Table1[[#This Row],[Date]],"mmm-yyyy")</f>
        <v>Aug-2023</v>
      </c>
      <c r="M763">
        <f>HOUR(Table1[[#This Row],[Time]])</f>
        <v>0</v>
      </c>
    </row>
    <row r="764" spans="1:13" x14ac:dyDescent="0.3">
      <c r="A764">
        <v>1763</v>
      </c>
      <c r="B764" s="3">
        <v>45158.332777314812</v>
      </c>
      <c r="C764" s="1">
        <v>45158.332777314812</v>
      </c>
      <c r="D764" t="s">
        <v>277</v>
      </c>
      <c r="E764" t="s">
        <v>14</v>
      </c>
      <c r="F764" t="s">
        <v>15</v>
      </c>
      <c r="G764" t="s">
        <v>25</v>
      </c>
      <c r="H764">
        <v>5</v>
      </c>
      <c r="I764">
        <v>206</v>
      </c>
      <c r="J764">
        <v>1030</v>
      </c>
      <c r="K764" t="str">
        <f>TEXT(Table1[[#This Row],[Date]],"dddd")</f>
        <v>Sunday</v>
      </c>
      <c r="L764" t="str">
        <f>TEXT(Table1[[#This Row],[Date]],"mmm-yyyy")</f>
        <v>Aug-2023</v>
      </c>
      <c r="M764">
        <f>HOUR(Table1[[#This Row],[Time]])</f>
        <v>7</v>
      </c>
    </row>
    <row r="765" spans="1:13" x14ac:dyDescent="0.3">
      <c r="A765">
        <v>1764</v>
      </c>
      <c r="B765" s="3">
        <v>45158.636363634258</v>
      </c>
      <c r="C765" s="1">
        <v>45158.636363634258</v>
      </c>
      <c r="D765" t="s">
        <v>52</v>
      </c>
      <c r="E765" t="s">
        <v>10</v>
      </c>
      <c r="F765" t="s">
        <v>24</v>
      </c>
      <c r="G765" t="s">
        <v>25</v>
      </c>
      <c r="H765">
        <v>5</v>
      </c>
      <c r="I765">
        <v>786</v>
      </c>
      <c r="J765">
        <v>3930</v>
      </c>
      <c r="K765" t="str">
        <f>TEXT(Table1[[#This Row],[Date]],"dddd")</f>
        <v>Sunday</v>
      </c>
      <c r="L765" t="str">
        <f>TEXT(Table1[[#This Row],[Date]],"mmm-yyyy")</f>
        <v>Aug-2023</v>
      </c>
      <c r="M765">
        <f>HOUR(Table1[[#This Row],[Time]])</f>
        <v>15</v>
      </c>
    </row>
    <row r="766" spans="1:13" x14ac:dyDescent="0.3">
      <c r="A766">
        <v>1765</v>
      </c>
      <c r="B766" s="3">
        <v>45158.939949953703</v>
      </c>
      <c r="C766" s="1">
        <v>45158.939949953703</v>
      </c>
      <c r="D766" t="s">
        <v>299</v>
      </c>
      <c r="E766" t="s">
        <v>10</v>
      </c>
      <c r="F766" t="s">
        <v>11</v>
      </c>
      <c r="G766" t="s">
        <v>25</v>
      </c>
      <c r="H766">
        <v>2</v>
      </c>
      <c r="I766">
        <v>303</v>
      </c>
      <c r="J766">
        <v>606</v>
      </c>
      <c r="K766" t="str">
        <f>TEXT(Table1[[#This Row],[Date]],"dddd")</f>
        <v>Sunday</v>
      </c>
      <c r="L766" t="str">
        <f>TEXT(Table1[[#This Row],[Date]],"mmm-yyyy")</f>
        <v>Aug-2023</v>
      </c>
      <c r="M766">
        <f>HOUR(Table1[[#This Row],[Time]])</f>
        <v>22</v>
      </c>
    </row>
    <row r="767" spans="1:13" x14ac:dyDescent="0.3">
      <c r="A767">
        <v>1766</v>
      </c>
      <c r="B767" s="3">
        <v>45159.243536284725</v>
      </c>
      <c r="C767" s="1">
        <v>45159.243536284725</v>
      </c>
      <c r="D767" t="s">
        <v>225</v>
      </c>
      <c r="E767" t="s">
        <v>17</v>
      </c>
      <c r="F767" t="s">
        <v>11</v>
      </c>
      <c r="G767" t="s">
        <v>22</v>
      </c>
      <c r="H767">
        <v>4</v>
      </c>
      <c r="I767">
        <v>264</v>
      </c>
      <c r="J767">
        <v>1056</v>
      </c>
      <c r="K767" t="str">
        <f>TEXT(Table1[[#This Row],[Date]],"dddd")</f>
        <v>Monday</v>
      </c>
      <c r="L767" t="str">
        <f>TEXT(Table1[[#This Row],[Date]],"mmm-yyyy")</f>
        <v>Aug-2023</v>
      </c>
      <c r="M767">
        <f>HOUR(Table1[[#This Row],[Time]])</f>
        <v>5</v>
      </c>
    </row>
    <row r="768" spans="1:13" x14ac:dyDescent="0.3">
      <c r="A768">
        <v>1767</v>
      </c>
      <c r="B768" s="3">
        <v>45159.54712260417</v>
      </c>
      <c r="C768" s="1">
        <v>45159.54712260417</v>
      </c>
      <c r="D768" t="s">
        <v>287</v>
      </c>
      <c r="E768" t="s">
        <v>28</v>
      </c>
      <c r="F768" t="s">
        <v>39</v>
      </c>
      <c r="G768" t="s">
        <v>12</v>
      </c>
      <c r="H768">
        <v>2</v>
      </c>
      <c r="I768">
        <v>404</v>
      </c>
      <c r="J768">
        <v>808</v>
      </c>
      <c r="K768" t="str">
        <f>TEXT(Table1[[#This Row],[Date]],"dddd")</f>
        <v>Monday</v>
      </c>
      <c r="L768" t="str">
        <f>TEXT(Table1[[#This Row],[Date]],"mmm-yyyy")</f>
        <v>Aug-2023</v>
      </c>
      <c r="M768">
        <f>HOUR(Table1[[#This Row],[Time]])</f>
        <v>13</v>
      </c>
    </row>
    <row r="769" spans="1:13" x14ac:dyDescent="0.3">
      <c r="A769">
        <v>1768</v>
      </c>
      <c r="B769" s="3">
        <v>45159.850708923608</v>
      </c>
      <c r="C769" s="1">
        <v>45159.850708923608</v>
      </c>
      <c r="D769" t="s">
        <v>200</v>
      </c>
      <c r="E769" t="s">
        <v>17</v>
      </c>
      <c r="F769" t="s">
        <v>11</v>
      </c>
      <c r="G769" t="s">
        <v>25</v>
      </c>
      <c r="H769">
        <v>5</v>
      </c>
      <c r="I769">
        <v>596</v>
      </c>
      <c r="J769">
        <v>2980</v>
      </c>
      <c r="K769" t="str">
        <f>TEXT(Table1[[#This Row],[Date]],"dddd")</f>
        <v>Monday</v>
      </c>
      <c r="L769" t="str">
        <f>TEXT(Table1[[#This Row],[Date]],"mmm-yyyy")</f>
        <v>Aug-2023</v>
      </c>
      <c r="M769">
        <f>HOUR(Table1[[#This Row],[Time]])</f>
        <v>20</v>
      </c>
    </row>
    <row r="770" spans="1:13" x14ac:dyDescent="0.3">
      <c r="A770">
        <v>1769</v>
      </c>
      <c r="B770" s="3">
        <v>45160.154295243054</v>
      </c>
      <c r="C770" s="1">
        <v>45160.154295243054</v>
      </c>
      <c r="D770" t="s">
        <v>126</v>
      </c>
      <c r="E770" t="s">
        <v>10</v>
      </c>
      <c r="F770" t="s">
        <v>18</v>
      </c>
      <c r="G770" t="s">
        <v>33</v>
      </c>
      <c r="H770">
        <v>5</v>
      </c>
      <c r="I770">
        <v>731</v>
      </c>
      <c r="J770">
        <v>3655</v>
      </c>
      <c r="K770" t="str">
        <f>TEXT(Table1[[#This Row],[Date]],"dddd")</f>
        <v>Tuesday</v>
      </c>
      <c r="L770" t="str">
        <f>TEXT(Table1[[#This Row],[Date]],"mmm-yyyy")</f>
        <v>Aug-2023</v>
      </c>
      <c r="M770">
        <f>HOUR(Table1[[#This Row],[Time]])</f>
        <v>3</v>
      </c>
    </row>
    <row r="771" spans="1:13" x14ac:dyDescent="0.3">
      <c r="A771">
        <v>1770</v>
      </c>
      <c r="B771" s="3">
        <v>45160.457881562499</v>
      </c>
      <c r="C771" s="1">
        <v>45160.457881562499</v>
      </c>
      <c r="D771" t="s">
        <v>97</v>
      </c>
      <c r="E771" t="s">
        <v>14</v>
      </c>
      <c r="F771" t="s">
        <v>18</v>
      </c>
      <c r="G771" t="s">
        <v>40</v>
      </c>
      <c r="H771">
        <v>1</v>
      </c>
      <c r="I771">
        <v>655</v>
      </c>
      <c r="J771">
        <v>655</v>
      </c>
      <c r="K771" t="str">
        <f>TEXT(Table1[[#This Row],[Date]],"dddd")</f>
        <v>Tuesday</v>
      </c>
      <c r="L771" t="str">
        <f>TEXT(Table1[[#This Row],[Date]],"mmm-yyyy")</f>
        <v>Aug-2023</v>
      </c>
      <c r="M771">
        <f>HOUR(Table1[[#This Row],[Time]])</f>
        <v>10</v>
      </c>
    </row>
    <row r="772" spans="1:13" x14ac:dyDescent="0.3">
      <c r="A772">
        <v>1771</v>
      </c>
      <c r="B772" s="3">
        <v>45160.761467893521</v>
      </c>
      <c r="C772" s="1">
        <v>45160.761467893521</v>
      </c>
      <c r="D772" t="s">
        <v>95</v>
      </c>
      <c r="E772" t="s">
        <v>10</v>
      </c>
      <c r="F772" t="s">
        <v>24</v>
      </c>
      <c r="G772" t="s">
        <v>56</v>
      </c>
      <c r="H772">
        <v>5</v>
      </c>
      <c r="I772">
        <v>923</v>
      </c>
      <c r="J772">
        <v>4615</v>
      </c>
      <c r="K772" t="str">
        <f>TEXT(Table1[[#This Row],[Date]],"dddd")</f>
        <v>Tuesday</v>
      </c>
      <c r="L772" t="str">
        <f>TEXT(Table1[[#This Row],[Date]],"mmm-yyyy")</f>
        <v>Aug-2023</v>
      </c>
      <c r="M772">
        <f>HOUR(Table1[[#This Row],[Time]])</f>
        <v>18</v>
      </c>
    </row>
    <row r="773" spans="1:13" x14ac:dyDescent="0.3">
      <c r="A773">
        <v>1772</v>
      </c>
      <c r="B773" s="3">
        <v>45161.065054212966</v>
      </c>
      <c r="C773" s="1">
        <v>45161.065054212966</v>
      </c>
      <c r="D773" t="s">
        <v>297</v>
      </c>
      <c r="E773" t="s">
        <v>14</v>
      </c>
      <c r="F773" t="s">
        <v>11</v>
      </c>
      <c r="G773" t="s">
        <v>35</v>
      </c>
      <c r="H773">
        <v>1</v>
      </c>
      <c r="I773">
        <v>255</v>
      </c>
      <c r="J773">
        <v>255</v>
      </c>
      <c r="K773" t="str">
        <f>TEXT(Table1[[#This Row],[Date]],"dddd")</f>
        <v>Wednesday</v>
      </c>
      <c r="L773" t="str">
        <f>TEXT(Table1[[#This Row],[Date]],"mmm-yyyy")</f>
        <v>Aug-2023</v>
      </c>
      <c r="M773">
        <f>HOUR(Table1[[#This Row],[Time]])</f>
        <v>1</v>
      </c>
    </row>
    <row r="774" spans="1:13" x14ac:dyDescent="0.3">
      <c r="A774">
        <v>1773</v>
      </c>
      <c r="B774" s="3">
        <v>45161.368640532404</v>
      </c>
      <c r="C774" s="1">
        <v>45161.368640532404</v>
      </c>
      <c r="D774" t="s">
        <v>212</v>
      </c>
      <c r="E774" t="s">
        <v>17</v>
      </c>
      <c r="F774" t="s">
        <v>15</v>
      </c>
      <c r="G774" t="s">
        <v>40</v>
      </c>
      <c r="H774">
        <v>4</v>
      </c>
      <c r="I774">
        <v>466</v>
      </c>
      <c r="J774">
        <v>1864</v>
      </c>
      <c r="K774" t="str">
        <f>TEXT(Table1[[#This Row],[Date]],"dddd")</f>
        <v>Wednesday</v>
      </c>
      <c r="L774" t="str">
        <f>TEXT(Table1[[#This Row],[Date]],"mmm-yyyy")</f>
        <v>Aug-2023</v>
      </c>
      <c r="M774">
        <f>HOUR(Table1[[#This Row],[Time]])</f>
        <v>8</v>
      </c>
    </row>
    <row r="775" spans="1:13" x14ac:dyDescent="0.3">
      <c r="A775">
        <v>1774</v>
      </c>
      <c r="B775" s="3">
        <v>45161.67222685185</v>
      </c>
      <c r="C775" s="1">
        <v>45161.67222685185</v>
      </c>
      <c r="D775" t="s">
        <v>71</v>
      </c>
      <c r="E775" t="s">
        <v>17</v>
      </c>
      <c r="F775" t="s">
        <v>11</v>
      </c>
      <c r="G775" t="s">
        <v>12</v>
      </c>
      <c r="H775">
        <v>2</v>
      </c>
      <c r="I775">
        <v>818</v>
      </c>
      <c r="J775">
        <v>1636</v>
      </c>
      <c r="K775" t="str">
        <f>TEXT(Table1[[#This Row],[Date]],"dddd")</f>
        <v>Wednesday</v>
      </c>
      <c r="L775" t="str">
        <f>TEXT(Table1[[#This Row],[Date]],"mmm-yyyy")</f>
        <v>Aug-2023</v>
      </c>
      <c r="M775">
        <f>HOUR(Table1[[#This Row],[Time]])</f>
        <v>16</v>
      </c>
    </row>
    <row r="776" spans="1:13" x14ac:dyDescent="0.3">
      <c r="A776">
        <v>1775</v>
      </c>
      <c r="B776" s="3">
        <v>45161.975813182871</v>
      </c>
      <c r="C776" s="1">
        <v>45161.975813182871</v>
      </c>
      <c r="D776" t="s">
        <v>179</v>
      </c>
      <c r="E776" t="s">
        <v>17</v>
      </c>
      <c r="F776" t="s">
        <v>15</v>
      </c>
      <c r="G776" t="s">
        <v>56</v>
      </c>
      <c r="H776">
        <v>2</v>
      </c>
      <c r="I776">
        <v>719</v>
      </c>
      <c r="J776">
        <v>1438</v>
      </c>
      <c r="K776" t="str">
        <f>TEXT(Table1[[#This Row],[Date]],"dddd")</f>
        <v>Wednesday</v>
      </c>
      <c r="L776" t="str">
        <f>TEXT(Table1[[#This Row],[Date]],"mmm-yyyy")</f>
        <v>Aug-2023</v>
      </c>
      <c r="M776">
        <f>HOUR(Table1[[#This Row],[Time]])</f>
        <v>23</v>
      </c>
    </row>
    <row r="777" spans="1:13" x14ac:dyDescent="0.3">
      <c r="A777">
        <v>1776</v>
      </c>
      <c r="B777" s="3">
        <v>45162.279399502317</v>
      </c>
      <c r="C777" s="1">
        <v>45162.279399502317</v>
      </c>
      <c r="D777" t="s">
        <v>280</v>
      </c>
      <c r="E777" t="s">
        <v>14</v>
      </c>
      <c r="F777" t="s">
        <v>39</v>
      </c>
      <c r="G777" t="s">
        <v>33</v>
      </c>
      <c r="H777">
        <v>1</v>
      </c>
      <c r="I777">
        <v>350</v>
      </c>
      <c r="J777">
        <v>350</v>
      </c>
      <c r="K777" t="str">
        <f>TEXT(Table1[[#This Row],[Date]],"dddd")</f>
        <v>Thursday</v>
      </c>
      <c r="L777" t="str">
        <f>TEXT(Table1[[#This Row],[Date]],"mmm-yyyy")</f>
        <v>Aug-2023</v>
      </c>
      <c r="M777">
        <f>HOUR(Table1[[#This Row],[Time]])</f>
        <v>6</v>
      </c>
    </row>
    <row r="778" spans="1:13" x14ac:dyDescent="0.3">
      <c r="A778">
        <v>1777</v>
      </c>
      <c r="B778" s="3">
        <v>45162.582985821762</v>
      </c>
      <c r="C778" s="1">
        <v>45162.582985821762</v>
      </c>
      <c r="D778" t="s">
        <v>230</v>
      </c>
      <c r="E778" t="s">
        <v>28</v>
      </c>
      <c r="F778" t="s">
        <v>15</v>
      </c>
      <c r="G778" t="s">
        <v>29</v>
      </c>
      <c r="H778">
        <v>2</v>
      </c>
      <c r="I778">
        <v>981</v>
      </c>
      <c r="J778">
        <v>1962</v>
      </c>
      <c r="K778" t="str">
        <f>TEXT(Table1[[#This Row],[Date]],"dddd")</f>
        <v>Thursday</v>
      </c>
      <c r="L778" t="str">
        <f>TEXT(Table1[[#This Row],[Date]],"mmm-yyyy")</f>
        <v>Aug-2023</v>
      </c>
      <c r="M778">
        <f>HOUR(Table1[[#This Row],[Time]])</f>
        <v>13</v>
      </c>
    </row>
    <row r="779" spans="1:13" x14ac:dyDescent="0.3">
      <c r="A779">
        <v>1778</v>
      </c>
      <c r="B779" s="3">
        <v>45162.8865721412</v>
      </c>
      <c r="C779" s="1">
        <v>45162.8865721412</v>
      </c>
      <c r="D779" t="s">
        <v>214</v>
      </c>
      <c r="E779" t="s">
        <v>28</v>
      </c>
      <c r="F779" t="s">
        <v>39</v>
      </c>
      <c r="G779" t="s">
        <v>12</v>
      </c>
      <c r="H779">
        <v>5</v>
      </c>
      <c r="I779">
        <v>433</v>
      </c>
      <c r="J779">
        <v>2165</v>
      </c>
      <c r="K779" t="str">
        <f>TEXT(Table1[[#This Row],[Date]],"dddd")</f>
        <v>Thursday</v>
      </c>
      <c r="L779" t="str">
        <f>TEXT(Table1[[#This Row],[Date]],"mmm-yyyy")</f>
        <v>Aug-2023</v>
      </c>
      <c r="M779">
        <f>HOUR(Table1[[#This Row],[Time]])</f>
        <v>21</v>
      </c>
    </row>
    <row r="780" spans="1:13" x14ac:dyDescent="0.3">
      <c r="A780">
        <v>1779</v>
      </c>
      <c r="B780" s="3">
        <v>45163.190158460646</v>
      </c>
      <c r="C780" s="1">
        <v>45163.190158460646</v>
      </c>
      <c r="D780" t="s">
        <v>257</v>
      </c>
      <c r="E780" t="s">
        <v>28</v>
      </c>
      <c r="F780" t="s">
        <v>18</v>
      </c>
      <c r="G780" t="s">
        <v>40</v>
      </c>
      <c r="H780">
        <v>3</v>
      </c>
      <c r="I780">
        <v>741</v>
      </c>
      <c r="J780">
        <v>2223</v>
      </c>
      <c r="K780" t="str">
        <f>TEXT(Table1[[#This Row],[Date]],"dddd")</f>
        <v>Friday</v>
      </c>
      <c r="L780" t="str">
        <f>TEXT(Table1[[#This Row],[Date]],"mmm-yyyy")</f>
        <v>Aug-2023</v>
      </c>
      <c r="M780">
        <f>HOUR(Table1[[#This Row],[Time]])</f>
        <v>4</v>
      </c>
    </row>
    <row r="781" spans="1:13" x14ac:dyDescent="0.3">
      <c r="A781">
        <v>1780</v>
      </c>
      <c r="B781" s="3">
        <v>45163.493744791667</v>
      </c>
      <c r="C781" s="1">
        <v>45163.493744791667</v>
      </c>
      <c r="D781" t="s">
        <v>147</v>
      </c>
      <c r="E781" t="s">
        <v>10</v>
      </c>
      <c r="F781" t="s">
        <v>11</v>
      </c>
      <c r="G781" t="s">
        <v>40</v>
      </c>
      <c r="H781">
        <v>1</v>
      </c>
      <c r="I781">
        <v>610</v>
      </c>
      <c r="J781">
        <v>610</v>
      </c>
      <c r="K781" t="str">
        <f>TEXT(Table1[[#This Row],[Date]],"dddd")</f>
        <v>Friday</v>
      </c>
      <c r="L781" t="str">
        <f>TEXT(Table1[[#This Row],[Date]],"mmm-yyyy")</f>
        <v>Aug-2023</v>
      </c>
      <c r="M781">
        <f>HOUR(Table1[[#This Row],[Time]])</f>
        <v>11</v>
      </c>
    </row>
    <row r="782" spans="1:13" x14ac:dyDescent="0.3">
      <c r="A782">
        <v>1781</v>
      </c>
      <c r="B782" s="3">
        <v>45163.797331111113</v>
      </c>
      <c r="C782" s="1">
        <v>45163.797331111113</v>
      </c>
      <c r="D782" t="s">
        <v>184</v>
      </c>
      <c r="E782" t="s">
        <v>10</v>
      </c>
      <c r="F782" t="s">
        <v>24</v>
      </c>
      <c r="G782" t="s">
        <v>42</v>
      </c>
      <c r="H782">
        <v>2</v>
      </c>
      <c r="I782">
        <v>392</v>
      </c>
      <c r="J782">
        <v>784</v>
      </c>
      <c r="K782" t="str">
        <f>TEXT(Table1[[#This Row],[Date]],"dddd")</f>
        <v>Friday</v>
      </c>
      <c r="L782" t="str">
        <f>TEXT(Table1[[#This Row],[Date]],"mmm-yyyy")</f>
        <v>Aug-2023</v>
      </c>
      <c r="M782">
        <f>HOUR(Table1[[#This Row],[Time]])</f>
        <v>19</v>
      </c>
    </row>
    <row r="783" spans="1:13" x14ac:dyDescent="0.3">
      <c r="A783">
        <v>1782</v>
      </c>
      <c r="B783" s="3">
        <v>45164.100917430558</v>
      </c>
      <c r="C783" s="1">
        <v>45164.100917430558</v>
      </c>
      <c r="D783" t="s">
        <v>305</v>
      </c>
      <c r="E783" t="s">
        <v>14</v>
      </c>
      <c r="F783" t="s">
        <v>11</v>
      </c>
      <c r="G783" t="s">
        <v>33</v>
      </c>
      <c r="H783">
        <v>1</v>
      </c>
      <c r="I783">
        <v>119</v>
      </c>
      <c r="J783">
        <v>119</v>
      </c>
      <c r="K783" t="str">
        <f>TEXT(Table1[[#This Row],[Date]],"dddd")</f>
        <v>Saturday</v>
      </c>
      <c r="L783" t="str">
        <f>TEXT(Table1[[#This Row],[Date]],"mmm-yyyy")</f>
        <v>Aug-2023</v>
      </c>
      <c r="M783">
        <f>HOUR(Table1[[#This Row],[Time]])</f>
        <v>2</v>
      </c>
    </row>
    <row r="784" spans="1:13" x14ac:dyDescent="0.3">
      <c r="A784">
        <v>1783</v>
      </c>
      <c r="B784" s="3">
        <v>45164.404503749996</v>
      </c>
      <c r="C784" s="1">
        <v>45164.404503749996</v>
      </c>
      <c r="D784" t="s">
        <v>90</v>
      </c>
      <c r="E784" t="s">
        <v>10</v>
      </c>
      <c r="F784" t="s">
        <v>39</v>
      </c>
      <c r="G784" t="s">
        <v>42</v>
      </c>
      <c r="H784">
        <v>1</v>
      </c>
      <c r="I784">
        <v>381</v>
      </c>
      <c r="J784">
        <v>381</v>
      </c>
      <c r="K784" t="str">
        <f>TEXT(Table1[[#This Row],[Date]],"dddd")</f>
        <v>Saturday</v>
      </c>
      <c r="L784" t="str">
        <f>TEXT(Table1[[#This Row],[Date]],"mmm-yyyy")</f>
        <v>Aug-2023</v>
      </c>
      <c r="M784">
        <f>HOUR(Table1[[#This Row],[Time]])</f>
        <v>9</v>
      </c>
    </row>
    <row r="785" spans="1:13" x14ac:dyDescent="0.3">
      <c r="A785">
        <v>1784</v>
      </c>
      <c r="B785" s="3">
        <v>45164.708090069442</v>
      </c>
      <c r="C785" s="1">
        <v>45164.708090069442</v>
      </c>
      <c r="D785" t="s">
        <v>306</v>
      </c>
      <c r="E785" t="s">
        <v>14</v>
      </c>
      <c r="F785" t="s">
        <v>11</v>
      </c>
      <c r="G785" t="s">
        <v>35</v>
      </c>
      <c r="H785">
        <v>3</v>
      </c>
      <c r="I785">
        <v>896</v>
      </c>
      <c r="J785">
        <v>2688</v>
      </c>
      <c r="K785" t="str">
        <f>TEXT(Table1[[#This Row],[Date]],"dddd")</f>
        <v>Saturday</v>
      </c>
      <c r="L785" t="str">
        <f>TEXT(Table1[[#This Row],[Date]],"mmm-yyyy")</f>
        <v>Aug-2023</v>
      </c>
      <c r="M785">
        <f>HOUR(Table1[[#This Row],[Time]])</f>
        <v>16</v>
      </c>
    </row>
    <row r="786" spans="1:13" x14ac:dyDescent="0.3">
      <c r="A786">
        <v>1785</v>
      </c>
      <c r="B786" s="3">
        <v>45165.011676400463</v>
      </c>
      <c r="C786" s="1">
        <v>45165.011676400463</v>
      </c>
      <c r="D786" t="s">
        <v>161</v>
      </c>
      <c r="E786" t="s">
        <v>17</v>
      </c>
      <c r="F786" t="s">
        <v>24</v>
      </c>
      <c r="G786" t="s">
        <v>35</v>
      </c>
      <c r="H786">
        <v>5</v>
      </c>
      <c r="I786">
        <v>100</v>
      </c>
      <c r="J786">
        <v>500</v>
      </c>
      <c r="K786" t="str">
        <f>TEXT(Table1[[#This Row],[Date]],"dddd")</f>
        <v>Sunday</v>
      </c>
      <c r="L786" t="str">
        <f>TEXT(Table1[[#This Row],[Date]],"mmm-yyyy")</f>
        <v>Aug-2023</v>
      </c>
      <c r="M786">
        <f>HOUR(Table1[[#This Row],[Time]])</f>
        <v>0</v>
      </c>
    </row>
    <row r="787" spans="1:13" x14ac:dyDescent="0.3">
      <c r="A787">
        <v>1786</v>
      </c>
      <c r="B787" s="3">
        <v>45165.315262719909</v>
      </c>
      <c r="C787" s="1">
        <v>45165.315262719909</v>
      </c>
      <c r="D787" t="s">
        <v>208</v>
      </c>
      <c r="E787" t="s">
        <v>14</v>
      </c>
      <c r="F787" t="s">
        <v>39</v>
      </c>
      <c r="G787" t="s">
        <v>19</v>
      </c>
      <c r="H787">
        <v>1</v>
      </c>
      <c r="I787">
        <v>218</v>
      </c>
      <c r="J787">
        <v>218</v>
      </c>
      <c r="K787" t="str">
        <f>TEXT(Table1[[#This Row],[Date]],"dddd")</f>
        <v>Sunday</v>
      </c>
      <c r="L787" t="str">
        <f>TEXT(Table1[[#This Row],[Date]],"mmm-yyyy")</f>
        <v>Aug-2023</v>
      </c>
      <c r="M787">
        <f>HOUR(Table1[[#This Row],[Time]])</f>
        <v>7</v>
      </c>
    </row>
    <row r="788" spans="1:13" x14ac:dyDescent="0.3">
      <c r="A788">
        <v>1787</v>
      </c>
      <c r="B788" s="3">
        <v>45165.618849039354</v>
      </c>
      <c r="C788" s="1">
        <v>45165.618849039354</v>
      </c>
      <c r="D788" t="s">
        <v>57</v>
      </c>
      <c r="E788" t="s">
        <v>10</v>
      </c>
      <c r="F788" t="s">
        <v>39</v>
      </c>
      <c r="G788" t="s">
        <v>35</v>
      </c>
      <c r="H788">
        <v>2</v>
      </c>
      <c r="I788">
        <v>134</v>
      </c>
      <c r="J788">
        <v>268</v>
      </c>
      <c r="K788" t="str">
        <f>TEXT(Table1[[#This Row],[Date]],"dddd")</f>
        <v>Sunday</v>
      </c>
      <c r="L788" t="str">
        <f>TEXT(Table1[[#This Row],[Date]],"mmm-yyyy")</f>
        <v>Aug-2023</v>
      </c>
      <c r="M788">
        <f>HOUR(Table1[[#This Row],[Time]])</f>
        <v>14</v>
      </c>
    </row>
    <row r="789" spans="1:13" x14ac:dyDescent="0.3">
      <c r="A789">
        <v>1788</v>
      </c>
      <c r="B789" s="3">
        <v>45165.9224353588</v>
      </c>
      <c r="C789" s="1">
        <v>45165.9224353588</v>
      </c>
      <c r="D789" t="s">
        <v>275</v>
      </c>
      <c r="E789" t="s">
        <v>17</v>
      </c>
      <c r="F789" t="s">
        <v>24</v>
      </c>
      <c r="G789" t="s">
        <v>29</v>
      </c>
      <c r="H789">
        <v>4</v>
      </c>
      <c r="I789">
        <v>297</v>
      </c>
      <c r="J789">
        <v>1188</v>
      </c>
      <c r="K789" t="str">
        <f>TEXT(Table1[[#This Row],[Date]],"dddd")</f>
        <v>Sunday</v>
      </c>
      <c r="L789" t="str">
        <f>TEXT(Table1[[#This Row],[Date]],"mmm-yyyy")</f>
        <v>Aug-2023</v>
      </c>
      <c r="M789">
        <f>HOUR(Table1[[#This Row],[Time]])</f>
        <v>22</v>
      </c>
    </row>
    <row r="790" spans="1:13" x14ac:dyDescent="0.3">
      <c r="A790">
        <v>1789</v>
      </c>
      <c r="B790" s="3">
        <v>45166.226021689814</v>
      </c>
      <c r="C790" s="1">
        <v>45166.226021689814</v>
      </c>
      <c r="D790" t="s">
        <v>187</v>
      </c>
      <c r="E790" t="s">
        <v>17</v>
      </c>
      <c r="F790" t="s">
        <v>11</v>
      </c>
      <c r="G790" t="s">
        <v>42</v>
      </c>
      <c r="H790">
        <v>1</v>
      </c>
      <c r="I790">
        <v>584</v>
      </c>
      <c r="J790">
        <v>584</v>
      </c>
      <c r="K790" t="str">
        <f>TEXT(Table1[[#This Row],[Date]],"dddd")</f>
        <v>Monday</v>
      </c>
      <c r="L790" t="str">
        <f>TEXT(Table1[[#This Row],[Date]],"mmm-yyyy")</f>
        <v>Aug-2023</v>
      </c>
      <c r="M790">
        <f>HOUR(Table1[[#This Row],[Time]])</f>
        <v>5</v>
      </c>
    </row>
    <row r="791" spans="1:13" x14ac:dyDescent="0.3">
      <c r="A791">
        <v>1790</v>
      </c>
      <c r="B791" s="3">
        <v>45166.529608009259</v>
      </c>
      <c r="C791" s="1">
        <v>45166.529608009259</v>
      </c>
      <c r="D791" t="s">
        <v>134</v>
      </c>
      <c r="E791" t="s">
        <v>14</v>
      </c>
      <c r="F791" t="s">
        <v>24</v>
      </c>
      <c r="G791" t="s">
        <v>33</v>
      </c>
      <c r="H791">
        <v>1</v>
      </c>
      <c r="I791">
        <v>856</v>
      </c>
      <c r="J791">
        <v>856</v>
      </c>
      <c r="K791" t="str">
        <f>TEXT(Table1[[#This Row],[Date]],"dddd")</f>
        <v>Monday</v>
      </c>
      <c r="L791" t="str">
        <f>TEXT(Table1[[#This Row],[Date]],"mmm-yyyy")</f>
        <v>Aug-2023</v>
      </c>
      <c r="M791">
        <f>HOUR(Table1[[#This Row],[Time]])</f>
        <v>12</v>
      </c>
    </row>
    <row r="792" spans="1:13" x14ac:dyDescent="0.3">
      <c r="A792">
        <v>1791</v>
      </c>
      <c r="B792" s="3">
        <v>45166.833194328705</v>
      </c>
      <c r="C792" s="1">
        <v>45166.833194328705</v>
      </c>
      <c r="D792" t="s">
        <v>108</v>
      </c>
      <c r="E792" t="s">
        <v>28</v>
      </c>
      <c r="F792" t="s">
        <v>15</v>
      </c>
      <c r="G792" t="s">
        <v>12</v>
      </c>
      <c r="H792">
        <v>3</v>
      </c>
      <c r="I792">
        <v>158</v>
      </c>
      <c r="J792">
        <v>474</v>
      </c>
      <c r="K792" t="str">
        <f>TEXT(Table1[[#This Row],[Date]],"dddd")</f>
        <v>Monday</v>
      </c>
      <c r="L792" t="str">
        <f>TEXT(Table1[[#This Row],[Date]],"mmm-yyyy")</f>
        <v>Aug-2023</v>
      </c>
      <c r="M792">
        <f>HOUR(Table1[[#This Row],[Time]])</f>
        <v>19</v>
      </c>
    </row>
    <row r="793" spans="1:13" x14ac:dyDescent="0.3">
      <c r="A793">
        <v>1792</v>
      </c>
      <c r="B793" s="3">
        <v>45167.13678064815</v>
      </c>
      <c r="C793" s="1">
        <v>45167.13678064815</v>
      </c>
      <c r="D793" t="s">
        <v>241</v>
      </c>
      <c r="E793" t="s">
        <v>10</v>
      </c>
      <c r="F793" t="s">
        <v>18</v>
      </c>
      <c r="G793" t="s">
        <v>33</v>
      </c>
      <c r="H793">
        <v>5</v>
      </c>
      <c r="I793">
        <v>936</v>
      </c>
      <c r="J793">
        <v>4680</v>
      </c>
      <c r="K793" t="str">
        <f>TEXT(Table1[[#This Row],[Date]],"dddd")</f>
        <v>Tuesday</v>
      </c>
      <c r="L793" t="str">
        <f>TEXT(Table1[[#This Row],[Date]],"mmm-yyyy")</f>
        <v>Aug-2023</v>
      </c>
      <c r="M793">
        <f>HOUR(Table1[[#This Row],[Time]])</f>
        <v>3</v>
      </c>
    </row>
    <row r="794" spans="1:13" x14ac:dyDescent="0.3">
      <c r="A794">
        <v>1793</v>
      </c>
      <c r="B794" s="3">
        <v>45167.440366967596</v>
      </c>
      <c r="C794" s="1">
        <v>45167.440366967596</v>
      </c>
      <c r="D794" t="s">
        <v>205</v>
      </c>
      <c r="E794" t="s">
        <v>10</v>
      </c>
      <c r="F794" t="s">
        <v>24</v>
      </c>
      <c r="G794" t="s">
        <v>33</v>
      </c>
      <c r="H794">
        <v>4</v>
      </c>
      <c r="I794">
        <v>260</v>
      </c>
      <c r="J794">
        <v>1040</v>
      </c>
      <c r="K794" t="str">
        <f>TEXT(Table1[[#This Row],[Date]],"dddd")</f>
        <v>Tuesday</v>
      </c>
      <c r="L794" t="str">
        <f>TEXT(Table1[[#This Row],[Date]],"mmm-yyyy")</f>
        <v>Aug-2023</v>
      </c>
      <c r="M794">
        <f>HOUR(Table1[[#This Row],[Time]])</f>
        <v>10</v>
      </c>
    </row>
    <row r="795" spans="1:13" x14ac:dyDescent="0.3">
      <c r="A795">
        <v>1794</v>
      </c>
      <c r="B795" s="3">
        <v>45167.74395329861</v>
      </c>
      <c r="C795" s="1">
        <v>45167.74395329861</v>
      </c>
      <c r="D795" t="s">
        <v>164</v>
      </c>
      <c r="E795" t="s">
        <v>28</v>
      </c>
      <c r="F795" t="s">
        <v>39</v>
      </c>
      <c r="G795" t="s">
        <v>25</v>
      </c>
      <c r="H795">
        <v>2</v>
      </c>
      <c r="I795">
        <v>790</v>
      </c>
      <c r="J795">
        <v>1580</v>
      </c>
      <c r="K795" t="str">
        <f>TEXT(Table1[[#This Row],[Date]],"dddd")</f>
        <v>Tuesday</v>
      </c>
      <c r="L795" t="str">
        <f>TEXT(Table1[[#This Row],[Date]],"mmm-yyyy")</f>
        <v>Aug-2023</v>
      </c>
      <c r="M795">
        <f>HOUR(Table1[[#This Row],[Time]])</f>
        <v>17</v>
      </c>
    </row>
    <row r="796" spans="1:13" x14ac:dyDescent="0.3">
      <c r="A796">
        <v>1795</v>
      </c>
      <c r="B796" s="3">
        <v>45168.047539618055</v>
      </c>
      <c r="C796" s="1">
        <v>45168.047539618055</v>
      </c>
      <c r="D796" t="s">
        <v>180</v>
      </c>
      <c r="E796" t="s">
        <v>10</v>
      </c>
      <c r="F796" t="s">
        <v>15</v>
      </c>
      <c r="G796" t="s">
        <v>56</v>
      </c>
      <c r="H796">
        <v>4</v>
      </c>
      <c r="I796">
        <v>305</v>
      </c>
      <c r="J796">
        <v>1220</v>
      </c>
      <c r="K796" t="str">
        <f>TEXT(Table1[[#This Row],[Date]],"dddd")</f>
        <v>Wednesday</v>
      </c>
      <c r="L796" t="str">
        <f>TEXT(Table1[[#This Row],[Date]],"mmm-yyyy")</f>
        <v>Aug-2023</v>
      </c>
      <c r="M796">
        <f>HOUR(Table1[[#This Row],[Time]])</f>
        <v>1</v>
      </c>
    </row>
    <row r="797" spans="1:13" x14ac:dyDescent="0.3">
      <c r="A797">
        <v>1796</v>
      </c>
      <c r="B797" s="3">
        <v>45168.351125937501</v>
      </c>
      <c r="C797" s="1">
        <v>45168.351125937501</v>
      </c>
      <c r="D797" t="s">
        <v>307</v>
      </c>
      <c r="E797" t="s">
        <v>28</v>
      </c>
      <c r="F797" t="s">
        <v>18</v>
      </c>
      <c r="G797" t="s">
        <v>22</v>
      </c>
      <c r="H797">
        <v>2</v>
      </c>
      <c r="I797">
        <v>111</v>
      </c>
      <c r="J797">
        <v>222</v>
      </c>
      <c r="K797" t="str">
        <f>TEXT(Table1[[#This Row],[Date]],"dddd")</f>
        <v>Wednesday</v>
      </c>
      <c r="L797" t="str">
        <f>TEXT(Table1[[#This Row],[Date]],"mmm-yyyy")</f>
        <v>Aug-2023</v>
      </c>
      <c r="M797">
        <f>HOUR(Table1[[#This Row],[Time]])</f>
        <v>8</v>
      </c>
    </row>
    <row r="798" spans="1:13" x14ac:dyDescent="0.3">
      <c r="A798">
        <v>1797</v>
      </c>
      <c r="B798" s="3">
        <v>45168.654712256946</v>
      </c>
      <c r="C798" s="1">
        <v>45168.654712256946</v>
      </c>
      <c r="D798" t="s">
        <v>98</v>
      </c>
      <c r="E798" t="s">
        <v>28</v>
      </c>
      <c r="F798" t="s">
        <v>24</v>
      </c>
      <c r="G798" t="s">
        <v>19</v>
      </c>
      <c r="H798">
        <v>5</v>
      </c>
      <c r="I798">
        <v>589</v>
      </c>
      <c r="J798">
        <v>2945</v>
      </c>
      <c r="K798" t="str">
        <f>TEXT(Table1[[#This Row],[Date]],"dddd")</f>
        <v>Wednesday</v>
      </c>
      <c r="L798" t="str">
        <f>TEXT(Table1[[#This Row],[Date]],"mmm-yyyy")</f>
        <v>Aug-2023</v>
      </c>
      <c r="M798">
        <f>HOUR(Table1[[#This Row],[Time]])</f>
        <v>15</v>
      </c>
    </row>
    <row r="799" spans="1:13" x14ac:dyDescent="0.3">
      <c r="A799">
        <v>1798</v>
      </c>
      <c r="B799" s="3">
        <v>45168.958298576392</v>
      </c>
      <c r="C799" s="1">
        <v>45168.958298576392</v>
      </c>
      <c r="D799" t="s">
        <v>61</v>
      </c>
      <c r="E799" t="s">
        <v>17</v>
      </c>
      <c r="F799" t="s">
        <v>18</v>
      </c>
      <c r="G799" t="s">
        <v>29</v>
      </c>
      <c r="H799">
        <v>2</v>
      </c>
      <c r="I799">
        <v>375</v>
      </c>
      <c r="J799">
        <v>750</v>
      </c>
      <c r="K799" t="str">
        <f>TEXT(Table1[[#This Row],[Date]],"dddd")</f>
        <v>Wednesday</v>
      </c>
      <c r="L799" t="str">
        <f>TEXT(Table1[[#This Row],[Date]],"mmm-yyyy")</f>
        <v>Aug-2023</v>
      </c>
      <c r="M799">
        <f>HOUR(Table1[[#This Row],[Time]])</f>
        <v>22</v>
      </c>
    </row>
    <row r="800" spans="1:13" x14ac:dyDescent="0.3">
      <c r="A800">
        <v>1799</v>
      </c>
      <c r="B800" s="3">
        <v>45169.261884907406</v>
      </c>
      <c r="C800" s="1">
        <v>45169.261884907406</v>
      </c>
      <c r="D800" t="s">
        <v>202</v>
      </c>
      <c r="E800" t="s">
        <v>17</v>
      </c>
      <c r="F800" t="s">
        <v>11</v>
      </c>
      <c r="G800" t="s">
        <v>35</v>
      </c>
      <c r="H800">
        <v>3</v>
      </c>
      <c r="I800">
        <v>792</v>
      </c>
      <c r="J800">
        <v>2376</v>
      </c>
      <c r="K800" t="str">
        <f>TEXT(Table1[[#This Row],[Date]],"dddd")</f>
        <v>Thursday</v>
      </c>
      <c r="L800" t="str">
        <f>TEXT(Table1[[#This Row],[Date]],"mmm-yyyy")</f>
        <v>Aug-2023</v>
      </c>
      <c r="M800">
        <f>HOUR(Table1[[#This Row],[Time]])</f>
        <v>6</v>
      </c>
    </row>
    <row r="801" spans="1:13" x14ac:dyDescent="0.3">
      <c r="A801">
        <v>1800</v>
      </c>
      <c r="B801" s="3">
        <v>45169.565471226852</v>
      </c>
      <c r="C801" s="1">
        <v>45169.565471226852</v>
      </c>
      <c r="D801" t="s">
        <v>128</v>
      </c>
      <c r="E801" t="s">
        <v>14</v>
      </c>
      <c r="F801" t="s">
        <v>39</v>
      </c>
      <c r="G801" t="s">
        <v>12</v>
      </c>
      <c r="H801">
        <v>3</v>
      </c>
      <c r="I801">
        <v>341</v>
      </c>
      <c r="J801">
        <v>1023</v>
      </c>
      <c r="K801" t="str">
        <f>TEXT(Table1[[#This Row],[Date]],"dddd")</f>
        <v>Thursday</v>
      </c>
      <c r="L801" t="str">
        <f>TEXT(Table1[[#This Row],[Date]],"mmm-yyyy")</f>
        <v>Aug-2023</v>
      </c>
      <c r="M801">
        <f>HOUR(Table1[[#This Row],[Time]])</f>
        <v>13</v>
      </c>
    </row>
    <row r="802" spans="1:13" x14ac:dyDescent="0.3">
      <c r="A802">
        <v>1801</v>
      </c>
      <c r="B802" s="3">
        <v>45169.869057546297</v>
      </c>
      <c r="C802" s="1">
        <v>45169.869057546297</v>
      </c>
      <c r="D802" t="s">
        <v>144</v>
      </c>
      <c r="E802" t="s">
        <v>17</v>
      </c>
      <c r="F802" t="s">
        <v>24</v>
      </c>
      <c r="G802" t="s">
        <v>56</v>
      </c>
      <c r="H802">
        <v>3</v>
      </c>
      <c r="I802">
        <v>315</v>
      </c>
      <c r="J802">
        <v>945</v>
      </c>
      <c r="K802" t="str">
        <f>TEXT(Table1[[#This Row],[Date]],"dddd")</f>
        <v>Thursday</v>
      </c>
      <c r="L802" t="str">
        <f>TEXT(Table1[[#This Row],[Date]],"mmm-yyyy")</f>
        <v>Aug-2023</v>
      </c>
      <c r="M802">
        <f>HOUR(Table1[[#This Row],[Time]])</f>
        <v>20</v>
      </c>
    </row>
    <row r="803" spans="1:13" x14ac:dyDescent="0.3">
      <c r="A803">
        <v>1802</v>
      </c>
      <c r="B803" s="3">
        <v>45170.172643865742</v>
      </c>
      <c r="C803" s="1">
        <v>45170.172643865742</v>
      </c>
      <c r="D803" t="s">
        <v>308</v>
      </c>
      <c r="E803" t="s">
        <v>28</v>
      </c>
      <c r="F803" t="s">
        <v>39</v>
      </c>
      <c r="G803" t="s">
        <v>25</v>
      </c>
      <c r="H803">
        <v>3</v>
      </c>
      <c r="I803">
        <v>350</v>
      </c>
      <c r="J803">
        <v>1050</v>
      </c>
      <c r="K803" t="str">
        <f>TEXT(Table1[[#This Row],[Date]],"dddd")</f>
        <v>Friday</v>
      </c>
      <c r="L803" t="str">
        <f>TEXT(Table1[[#This Row],[Date]],"mmm-yyyy")</f>
        <v>Sep-2023</v>
      </c>
      <c r="M803">
        <f>HOUR(Table1[[#This Row],[Time]])</f>
        <v>4</v>
      </c>
    </row>
    <row r="804" spans="1:13" x14ac:dyDescent="0.3">
      <c r="A804">
        <v>1803</v>
      </c>
      <c r="B804" s="3">
        <v>45170.476230196757</v>
      </c>
      <c r="C804" s="1">
        <v>45170.476230196757</v>
      </c>
      <c r="D804" t="s">
        <v>68</v>
      </c>
      <c r="E804" t="s">
        <v>14</v>
      </c>
      <c r="F804" t="s">
        <v>15</v>
      </c>
      <c r="G804" t="s">
        <v>33</v>
      </c>
      <c r="H804">
        <v>4</v>
      </c>
      <c r="I804">
        <v>910</v>
      </c>
      <c r="J804">
        <v>3640</v>
      </c>
      <c r="K804" t="str">
        <f>TEXT(Table1[[#This Row],[Date]],"dddd")</f>
        <v>Friday</v>
      </c>
      <c r="L804" t="str">
        <f>TEXT(Table1[[#This Row],[Date]],"mmm-yyyy")</f>
        <v>Sep-2023</v>
      </c>
      <c r="M804">
        <f>HOUR(Table1[[#This Row],[Time]])</f>
        <v>11</v>
      </c>
    </row>
    <row r="805" spans="1:13" x14ac:dyDescent="0.3">
      <c r="A805">
        <v>1804</v>
      </c>
      <c r="B805" s="3">
        <v>45170.779816516202</v>
      </c>
      <c r="C805" s="1">
        <v>45170.779816516202</v>
      </c>
      <c r="D805" t="s">
        <v>186</v>
      </c>
      <c r="E805" t="s">
        <v>10</v>
      </c>
      <c r="F805" t="s">
        <v>15</v>
      </c>
      <c r="G805" t="s">
        <v>33</v>
      </c>
      <c r="H805">
        <v>5</v>
      </c>
      <c r="I805">
        <v>225</v>
      </c>
      <c r="J805">
        <v>1125</v>
      </c>
      <c r="K805" t="str">
        <f>TEXT(Table1[[#This Row],[Date]],"dddd")</f>
        <v>Friday</v>
      </c>
      <c r="L805" t="str">
        <f>TEXT(Table1[[#This Row],[Date]],"mmm-yyyy")</f>
        <v>Sep-2023</v>
      </c>
      <c r="M805">
        <f>HOUR(Table1[[#This Row],[Time]])</f>
        <v>18</v>
      </c>
    </row>
    <row r="806" spans="1:13" x14ac:dyDescent="0.3">
      <c r="A806">
        <v>1805</v>
      </c>
      <c r="B806" s="3">
        <v>45171.083402835648</v>
      </c>
      <c r="C806" s="1">
        <v>45171.083402835648</v>
      </c>
      <c r="D806" t="s">
        <v>128</v>
      </c>
      <c r="E806" t="s">
        <v>28</v>
      </c>
      <c r="F806" t="s">
        <v>18</v>
      </c>
      <c r="G806" t="s">
        <v>40</v>
      </c>
      <c r="H806">
        <v>2</v>
      </c>
      <c r="I806">
        <v>316</v>
      </c>
      <c r="J806">
        <v>632</v>
      </c>
      <c r="K806" t="str">
        <f>TEXT(Table1[[#This Row],[Date]],"dddd")</f>
        <v>Saturday</v>
      </c>
      <c r="L806" t="str">
        <f>TEXT(Table1[[#This Row],[Date]],"mmm-yyyy")</f>
        <v>Sep-2023</v>
      </c>
      <c r="M806">
        <f>HOUR(Table1[[#This Row],[Time]])</f>
        <v>2</v>
      </c>
    </row>
    <row r="807" spans="1:13" x14ac:dyDescent="0.3">
      <c r="A807">
        <v>1806</v>
      </c>
      <c r="B807" s="3">
        <v>45171.386989155093</v>
      </c>
      <c r="C807" s="1">
        <v>45171.386989155093</v>
      </c>
      <c r="D807" t="s">
        <v>129</v>
      </c>
      <c r="E807" t="s">
        <v>14</v>
      </c>
      <c r="F807" t="s">
        <v>15</v>
      </c>
      <c r="G807" t="s">
        <v>19</v>
      </c>
      <c r="H807">
        <v>2</v>
      </c>
      <c r="I807">
        <v>405</v>
      </c>
      <c r="J807">
        <v>810</v>
      </c>
      <c r="K807" t="str">
        <f>TEXT(Table1[[#This Row],[Date]],"dddd")</f>
        <v>Saturday</v>
      </c>
      <c r="L807" t="str">
        <f>TEXT(Table1[[#This Row],[Date]],"mmm-yyyy")</f>
        <v>Sep-2023</v>
      </c>
      <c r="M807">
        <f>HOUR(Table1[[#This Row],[Time]])</f>
        <v>9</v>
      </c>
    </row>
    <row r="808" spans="1:13" x14ac:dyDescent="0.3">
      <c r="A808">
        <v>1807</v>
      </c>
      <c r="B808" s="3">
        <v>45171.690575474538</v>
      </c>
      <c r="C808" s="1">
        <v>45171.690575474538</v>
      </c>
      <c r="D808" t="s">
        <v>251</v>
      </c>
      <c r="E808" t="s">
        <v>17</v>
      </c>
      <c r="F808" t="s">
        <v>15</v>
      </c>
      <c r="G808" t="s">
        <v>22</v>
      </c>
      <c r="H808">
        <v>3</v>
      </c>
      <c r="I808">
        <v>896</v>
      </c>
      <c r="J808">
        <v>2688</v>
      </c>
      <c r="K808" t="str">
        <f>TEXT(Table1[[#This Row],[Date]],"dddd")</f>
        <v>Saturday</v>
      </c>
      <c r="L808" t="str">
        <f>TEXT(Table1[[#This Row],[Date]],"mmm-yyyy")</f>
        <v>Sep-2023</v>
      </c>
      <c r="M808">
        <f>HOUR(Table1[[#This Row],[Time]])</f>
        <v>16</v>
      </c>
    </row>
    <row r="809" spans="1:13" x14ac:dyDescent="0.3">
      <c r="A809">
        <v>1808</v>
      </c>
      <c r="B809" s="3">
        <v>45171.994161805553</v>
      </c>
      <c r="C809" s="1">
        <v>45171.994161805553</v>
      </c>
      <c r="D809" t="s">
        <v>275</v>
      </c>
      <c r="E809" t="s">
        <v>28</v>
      </c>
      <c r="F809" t="s">
        <v>24</v>
      </c>
      <c r="G809" t="s">
        <v>33</v>
      </c>
      <c r="H809">
        <v>3</v>
      </c>
      <c r="I809">
        <v>284</v>
      </c>
      <c r="J809">
        <v>852</v>
      </c>
      <c r="K809" t="str">
        <f>TEXT(Table1[[#This Row],[Date]],"dddd")</f>
        <v>Saturday</v>
      </c>
      <c r="L809" t="str">
        <f>TEXT(Table1[[#This Row],[Date]],"mmm-yyyy")</f>
        <v>Sep-2023</v>
      </c>
      <c r="M809">
        <f>HOUR(Table1[[#This Row],[Time]])</f>
        <v>23</v>
      </c>
    </row>
    <row r="810" spans="1:13" x14ac:dyDescent="0.3">
      <c r="A810">
        <v>1809</v>
      </c>
      <c r="B810" s="3">
        <v>45172.297748124998</v>
      </c>
      <c r="C810" s="1">
        <v>45172.297748124998</v>
      </c>
      <c r="D810" t="s">
        <v>238</v>
      </c>
      <c r="E810" t="s">
        <v>14</v>
      </c>
      <c r="F810" t="s">
        <v>39</v>
      </c>
      <c r="G810" t="s">
        <v>42</v>
      </c>
      <c r="H810">
        <v>1</v>
      </c>
      <c r="I810">
        <v>138</v>
      </c>
      <c r="J810">
        <v>138</v>
      </c>
      <c r="K810" t="str">
        <f>TEXT(Table1[[#This Row],[Date]],"dddd")</f>
        <v>Sunday</v>
      </c>
      <c r="L810" t="str">
        <f>TEXT(Table1[[#This Row],[Date]],"mmm-yyyy")</f>
        <v>Sep-2023</v>
      </c>
      <c r="M810">
        <f>HOUR(Table1[[#This Row],[Time]])</f>
        <v>7</v>
      </c>
    </row>
    <row r="811" spans="1:13" x14ac:dyDescent="0.3">
      <c r="A811">
        <v>1810</v>
      </c>
      <c r="B811" s="3">
        <v>45172.601334444444</v>
      </c>
      <c r="C811" s="1">
        <v>45172.601334444444</v>
      </c>
      <c r="D811" t="s">
        <v>302</v>
      </c>
      <c r="E811" t="s">
        <v>10</v>
      </c>
      <c r="F811" t="s">
        <v>18</v>
      </c>
      <c r="G811" t="s">
        <v>29</v>
      </c>
      <c r="H811">
        <v>5</v>
      </c>
      <c r="I811">
        <v>322</v>
      </c>
      <c r="J811">
        <v>1610</v>
      </c>
      <c r="K811" t="str">
        <f>TEXT(Table1[[#This Row],[Date]],"dddd")</f>
        <v>Sunday</v>
      </c>
      <c r="L811" t="str">
        <f>TEXT(Table1[[#This Row],[Date]],"mmm-yyyy")</f>
        <v>Sep-2023</v>
      </c>
      <c r="M811">
        <f>HOUR(Table1[[#This Row],[Time]])</f>
        <v>14</v>
      </c>
    </row>
    <row r="812" spans="1:13" x14ac:dyDescent="0.3">
      <c r="A812">
        <v>1811</v>
      </c>
      <c r="B812" s="3">
        <v>45172.904920763889</v>
      </c>
      <c r="C812" s="1">
        <v>45172.904920763889</v>
      </c>
      <c r="D812" t="s">
        <v>32</v>
      </c>
      <c r="E812" t="s">
        <v>28</v>
      </c>
      <c r="F812" t="s">
        <v>15</v>
      </c>
      <c r="G812" t="s">
        <v>35</v>
      </c>
      <c r="H812">
        <v>4</v>
      </c>
      <c r="I812">
        <v>283</v>
      </c>
      <c r="J812">
        <v>1132</v>
      </c>
      <c r="K812" t="str">
        <f>TEXT(Table1[[#This Row],[Date]],"dddd")</f>
        <v>Sunday</v>
      </c>
      <c r="L812" t="str">
        <f>TEXT(Table1[[#This Row],[Date]],"mmm-yyyy")</f>
        <v>Sep-2023</v>
      </c>
      <c r="M812">
        <f>HOUR(Table1[[#This Row],[Time]])</f>
        <v>21</v>
      </c>
    </row>
    <row r="813" spans="1:13" x14ac:dyDescent="0.3">
      <c r="A813">
        <v>1812</v>
      </c>
      <c r="B813" s="3">
        <v>45173.208507094911</v>
      </c>
      <c r="C813" s="1">
        <v>45173.208507094911</v>
      </c>
      <c r="D813" t="s">
        <v>281</v>
      </c>
      <c r="E813" t="s">
        <v>28</v>
      </c>
      <c r="F813" t="s">
        <v>39</v>
      </c>
      <c r="G813" t="s">
        <v>56</v>
      </c>
      <c r="H813">
        <v>2</v>
      </c>
      <c r="I813">
        <v>594</v>
      </c>
      <c r="J813">
        <v>1188</v>
      </c>
      <c r="K813" t="str">
        <f>TEXT(Table1[[#This Row],[Date]],"dddd")</f>
        <v>Monday</v>
      </c>
      <c r="L813" t="str">
        <f>TEXT(Table1[[#This Row],[Date]],"mmm-yyyy")</f>
        <v>Sep-2023</v>
      </c>
      <c r="M813">
        <f>HOUR(Table1[[#This Row],[Time]])</f>
        <v>5</v>
      </c>
    </row>
    <row r="814" spans="1:13" x14ac:dyDescent="0.3">
      <c r="A814">
        <v>1813</v>
      </c>
      <c r="B814" s="3">
        <v>45173.512093414349</v>
      </c>
      <c r="C814" s="1">
        <v>45173.512093414349</v>
      </c>
      <c r="D814" t="s">
        <v>309</v>
      </c>
      <c r="E814" t="s">
        <v>14</v>
      </c>
      <c r="F814" t="s">
        <v>11</v>
      </c>
      <c r="G814" t="s">
        <v>33</v>
      </c>
      <c r="H814">
        <v>1</v>
      </c>
      <c r="I814">
        <v>526</v>
      </c>
      <c r="J814">
        <v>526</v>
      </c>
      <c r="K814" t="str">
        <f>TEXT(Table1[[#This Row],[Date]],"dddd")</f>
        <v>Monday</v>
      </c>
      <c r="L814" t="str">
        <f>TEXT(Table1[[#This Row],[Date]],"mmm-yyyy")</f>
        <v>Sep-2023</v>
      </c>
      <c r="M814">
        <f>HOUR(Table1[[#This Row],[Time]])</f>
        <v>12</v>
      </c>
    </row>
    <row r="815" spans="1:13" x14ac:dyDescent="0.3">
      <c r="A815">
        <v>1814</v>
      </c>
      <c r="B815" s="3">
        <v>45173.815679733794</v>
      </c>
      <c r="C815" s="1">
        <v>45173.815679733794</v>
      </c>
      <c r="D815" t="s">
        <v>223</v>
      </c>
      <c r="E815" t="s">
        <v>14</v>
      </c>
      <c r="F815" t="s">
        <v>24</v>
      </c>
      <c r="G815" t="s">
        <v>56</v>
      </c>
      <c r="H815">
        <v>1</v>
      </c>
      <c r="I815">
        <v>277</v>
      </c>
      <c r="J815">
        <v>277</v>
      </c>
      <c r="K815" t="str">
        <f>TEXT(Table1[[#This Row],[Date]],"dddd")</f>
        <v>Monday</v>
      </c>
      <c r="L815" t="str">
        <f>TEXT(Table1[[#This Row],[Date]],"mmm-yyyy")</f>
        <v>Sep-2023</v>
      </c>
      <c r="M815">
        <f>HOUR(Table1[[#This Row],[Time]])</f>
        <v>19</v>
      </c>
    </row>
    <row r="816" spans="1:13" x14ac:dyDescent="0.3">
      <c r="A816">
        <v>1815</v>
      </c>
      <c r="B816" s="3">
        <v>45174.11926605324</v>
      </c>
      <c r="C816" s="1">
        <v>45174.11926605324</v>
      </c>
      <c r="D816" t="s">
        <v>78</v>
      </c>
      <c r="E816" t="s">
        <v>17</v>
      </c>
      <c r="F816" t="s">
        <v>15</v>
      </c>
      <c r="G816" t="s">
        <v>25</v>
      </c>
      <c r="H816">
        <v>2</v>
      </c>
      <c r="I816">
        <v>527</v>
      </c>
      <c r="J816">
        <v>1054</v>
      </c>
      <c r="K816" t="str">
        <f>TEXT(Table1[[#This Row],[Date]],"dddd")</f>
        <v>Tuesday</v>
      </c>
      <c r="L816" t="str">
        <f>TEXT(Table1[[#This Row],[Date]],"mmm-yyyy")</f>
        <v>Sep-2023</v>
      </c>
      <c r="M816">
        <f>HOUR(Table1[[#This Row],[Time]])</f>
        <v>2</v>
      </c>
    </row>
    <row r="817" spans="1:13" x14ac:dyDescent="0.3">
      <c r="A817">
        <v>1816</v>
      </c>
      <c r="B817" s="3">
        <v>45174.422852372685</v>
      </c>
      <c r="C817" s="1">
        <v>45174.422852372685</v>
      </c>
      <c r="D817" t="s">
        <v>85</v>
      </c>
      <c r="E817" t="s">
        <v>17</v>
      </c>
      <c r="F817" t="s">
        <v>15</v>
      </c>
      <c r="G817" t="s">
        <v>56</v>
      </c>
      <c r="H817">
        <v>4</v>
      </c>
      <c r="I817">
        <v>393</v>
      </c>
      <c r="J817">
        <v>1572</v>
      </c>
      <c r="K817" t="str">
        <f>TEXT(Table1[[#This Row],[Date]],"dddd")</f>
        <v>Tuesday</v>
      </c>
      <c r="L817" t="str">
        <f>TEXT(Table1[[#This Row],[Date]],"mmm-yyyy")</f>
        <v>Sep-2023</v>
      </c>
      <c r="M817">
        <f>HOUR(Table1[[#This Row],[Time]])</f>
        <v>10</v>
      </c>
    </row>
    <row r="818" spans="1:13" x14ac:dyDescent="0.3">
      <c r="A818">
        <v>1817</v>
      </c>
      <c r="B818" s="3">
        <v>45174.726438703707</v>
      </c>
      <c r="C818" s="1">
        <v>45174.726438703707</v>
      </c>
      <c r="D818" t="s">
        <v>38</v>
      </c>
      <c r="E818" t="s">
        <v>28</v>
      </c>
      <c r="F818" t="s">
        <v>15</v>
      </c>
      <c r="G818" t="s">
        <v>56</v>
      </c>
      <c r="H818">
        <v>1</v>
      </c>
      <c r="I818">
        <v>951</v>
      </c>
      <c r="J818">
        <v>951</v>
      </c>
      <c r="K818" t="str">
        <f>TEXT(Table1[[#This Row],[Date]],"dddd")</f>
        <v>Tuesday</v>
      </c>
      <c r="L818" t="str">
        <f>TEXT(Table1[[#This Row],[Date]],"mmm-yyyy")</f>
        <v>Sep-2023</v>
      </c>
      <c r="M818">
        <f>HOUR(Table1[[#This Row],[Time]])</f>
        <v>17</v>
      </c>
    </row>
    <row r="819" spans="1:13" x14ac:dyDescent="0.3">
      <c r="A819">
        <v>1818</v>
      </c>
      <c r="B819" s="3">
        <v>45175.030025023145</v>
      </c>
      <c r="C819" s="1">
        <v>45175.030025023145</v>
      </c>
      <c r="D819" t="s">
        <v>61</v>
      </c>
      <c r="E819" t="s">
        <v>10</v>
      </c>
      <c r="F819" t="s">
        <v>39</v>
      </c>
      <c r="G819" t="s">
        <v>35</v>
      </c>
      <c r="H819">
        <v>1</v>
      </c>
      <c r="I819">
        <v>250</v>
      </c>
      <c r="J819">
        <v>250</v>
      </c>
      <c r="K819" t="str">
        <f>TEXT(Table1[[#This Row],[Date]],"dddd")</f>
        <v>Wednesday</v>
      </c>
      <c r="L819" t="str">
        <f>TEXT(Table1[[#This Row],[Date]],"mmm-yyyy")</f>
        <v>Sep-2023</v>
      </c>
      <c r="M819">
        <f>HOUR(Table1[[#This Row],[Time]])</f>
        <v>0</v>
      </c>
    </row>
    <row r="820" spans="1:13" x14ac:dyDescent="0.3">
      <c r="A820">
        <v>1819</v>
      </c>
      <c r="B820" s="3">
        <v>45175.33361134259</v>
      </c>
      <c r="C820" s="1">
        <v>45175.33361134259</v>
      </c>
      <c r="D820" t="s">
        <v>45</v>
      </c>
      <c r="E820" t="s">
        <v>17</v>
      </c>
      <c r="F820" t="s">
        <v>24</v>
      </c>
      <c r="G820" t="s">
        <v>35</v>
      </c>
      <c r="H820">
        <v>5</v>
      </c>
      <c r="I820">
        <v>483</v>
      </c>
      <c r="J820">
        <v>2415</v>
      </c>
      <c r="K820" t="str">
        <f>TEXT(Table1[[#This Row],[Date]],"dddd")</f>
        <v>Wednesday</v>
      </c>
      <c r="L820" t="str">
        <f>TEXT(Table1[[#This Row],[Date]],"mmm-yyyy")</f>
        <v>Sep-2023</v>
      </c>
      <c r="M820">
        <f>HOUR(Table1[[#This Row],[Time]])</f>
        <v>8</v>
      </c>
    </row>
    <row r="821" spans="1:13" x14ac:dyDescent="0.3">
      <c r="A821">
        <v>1820</v>
      </c>
      <c r="B821" s="3">
        <v>45175.637197662036</v>
      </c>
      <c r="C821" s="1">
        <v>45175.637197662036</v>
      </c>
      <c r="D821" t="s">
        <v>269</v>
      </c>
      <c r="E821" t="s">
        <v>10</v>
      </c>
      <c r="F821" t="s">
        <v>24</v>
      </c>
      <c r="G821" t="s">
        <v>56</v>
      </c>
      <c r="H821">
        <v>4</v>
      </c>
      <c r="I821">
        <v>737</v>
      </c>
      <c r="J821">
        <v>2948</v>
      </c>
      <c r="K821" t="str">
        <f>TEXT(Table1[[#This Row],[Date]],"dddd")</f>
        <v>Wednesday</v>
      </c>
      <c r="L821" t="str">
        <f>TEXT(Table1[[#This Row],[Date]],"mmm-yyyy")</f>
        <v>Sep-2023</v>
      </c>
      <c r="M821">
        <f>HOUR(Table1[[#This Row],[Time]])</f>
        <v>15</v>
      </c>
    </row>
    <row r="822" spans="1:13" x14ac:dyDescent="0.3">
      <c r="A822">
        <v>1821</v>
      </c>
      <c r="B822" s="3">
        <v>45175.940783981481</v>
      </c>
      <c r="C822" s="1">
        <v>45175.940783981481</v>
      </c>
      <c r="D822" t="s">
        <v>126</v>
      </c>
      <c r="E822" t="s">
        <v>14</v>
      </c>
      <c r="F822" t="s">
        <v>39</v>
      </c>
      <c r="G822" t="s">
        <v>25</v>
      </c>
      <c r="H822">
        <v>1</v>
      </c>
      <c r="I822">
        <v>912</v>
      </c>
      <c r="J822">
        <v>912</v>
      </c>
      <c r="K822" t="str">
        <f>TEXT(Table1[[#This Row],[Date]],"dddd")</f>
        <v>Wednesday</v>
      </c>
      <c r="L822" t="str">
        <f>TEXT(Table1[[#This Row],[Date]],"mmm-yyyy")</f>
        <v>Sep-2023</v>
      </c>
      <c r="M822">
        <f>HOUR(Table1[[#This Row],[Time]])</f>
        <v>22</v>
      </c>
    </row>
    <row r="823" spans="1:13" x14ac:dyDescent="0.3">
      <c r="A823">
        <v>1822</v>
      </c>
      <c r="B823" s="3">
        <v>45176.244370312503</v>
      </c>
      <c r="C823" s="1">
        <v>45176.244370312503</v>
      </c>
      <c r="D823" t="s">
        <v>217</v>
      </c>
      <c r="E823" t="s">
        <v>14</v>
      </c>
      <c r="F823" t="s">
        <v>18</v>
      </c>
      <c r="G823" t="s">
        <v>22</v>
      </c>
      <c r="H823">
        <v>4</v>
      </c>
      <c r="I823">
        <v>407</v>
      </c>
      <c r="J823">
        <v>1628</v>
      </c>
      <c r="K823" t="str">
        <f>TEXT(Table1[[#This Row],[Date]],"dddd")</f>
        <v>Thursday</v>
      </c>
      <c r="L823" t="str">
        <f>TEXT(Table1[[#This Row],[Date]],"mmm-yyyy")</f>
        <v>Sep-2023</v>
      </c>
      <c r="M823">
        <f>HOUR(Table1[[#This Row],[Time]])</f>
        <v>5</v>
      </c>
    </row>
    <row r="824" spans="1:13" x14ac:dyDescent="0.3">
      <c r="A824">
        <v>1823</v>
      </c>
      <c r="B824" s="3">
        <v>45176.547956631941</v>
      </c>
      <c r="C824" s="1">
        <v>45176.547956631941</v>
      </c>
      <c r="D824" t="s">
        <v>161</v>
      </c>
      <c r="E824" t="s">
        <v>17</v>
      </c>
      <c r="F824" t="s">
        <v>24</v>
      </c>
      <c r="G824" t="s">
        <v>42</v>
      </c>
      <c r="H824">
        <v>2</v>
      </c>
      <c r="I824">
        <v>435</v>
      </c>
      <c r="J824">
        <v>870</v>
      </c>
      <c r="K824" t="str">
        <f>TEXT(Table1[[#This Row],[Date]],"dddd")</f>
        <v>Thursday</v>
      </c>
      <c r="L824" t="str">
        <f>TEXT(Table1[[#This Row],[Date]],"mmm-yyyy")</f>
        <v>Sep-2023</v>
      </c>
      <c r="M824">
        <f>HOUR(Table1[[#This Row],[Time]])</f>
        <v>13</v>
      </c>
    </row>
    <row r="825" spans="1:13" x14ac:dyDescent="0.3">
      <c r="A825">
        <v>1824</v>
      </c>
      <c r="B825" s="3">
        <v>45176.851542951386</v>
      </c>
      <c r="C825" s="1">
        <v>45176.851542951386</v>
      </c>
      <c r="D825" t="s">
        <v>230</v>
      </c>
      <c r="E825" t="s">
        <v>28</v>
      </c>
      <c r="F825" t="s">
        <v>39</v>
      </c>
      <c r="G825" t="s">
        <v>29</v>
      </c>
      <c r="H825">
        <v>3</v>
      </c>
      <c r="I825">
        <v>845</v>
      </c>
      <c r="J825">
        <v>2535</v>
      </c>
      <c r="K825" t="str">
        <f>TEXT(Table1[[#This Row],[Date]],"dddd")</f>
        <v>Thursday</v>
      </c>
      <c r="L825" t="str">
        <f>TEXT(Table1[[#This Row],[Date]],"mmm-yyyy")</f>
        <v>Sep-2023</v>
      </c>
      <c r="M825">
        <f>HOUR(Table1[[#This Row],[Time]])</f>
        <v>20</v>
      </c>
    </row>
    <row r="826" spans="1:13" x14ac:dyDescent="0.3">
      <c r="A826">
        <v>1825</v>
      </c>
      <c r="B826" s="3">
        <v>45177.155129270832</v>
      </c>
      <c r="C826" s="1">
        <v>45177.155129270832</v>
      </c>
      <c r="D826" t="s">
        <v>84</v>
      </c>
      <c r="E826" t="s">
        <v>14</v>
      </c>
      <c r="F826" t="s">
        <v>39</v>
      </c>
      <c r="G826" t="s">
        <v>25</v>
      </c>
      <c r="H826">
        <v>1</v>
      </c>
      <c r="I826">
        <v>991</v>
      </c>
      <c r="J826">
        <v>991</v>
      </c>
      <c r="K826" t="str">
        <f>TEXT(Table1[[#This Row],[Date]],"dddd")</f>
        <v>Friday</v>
      </c>
      <c r="L826" t="str">
        <f>TEXT(Table1[[#This Row],[Date]],"mmm-yyyy")</f>
        <v>Sep-2023</v>
      </c>
      <c r="M826">
        <f>HOUR(Table1[[#This Row],[Time]])</f>
        <v>3</v>
      </c>
    </row>
    <row r="827" spans="1:13" x14ac:dyDescent="0.3">
      <c r="A827">
        <v>1826</v>
      </c>
      <c r="B827" s="3">
        <v>45177.458715601853</v>
      </c>
      <c r="C827" s="1">
        <v>45177.458715601853</v>
      </c>
      <c r="D827" t="s">
        <v>310</v>
      </c>
      <c r="E827" t="s">
        <v>10</v>
      </c>
      <c r="F827" t="s">
        <v>15</v>
      </c>
      <c r="G827" t="s">
        <v>29</v>
      </c>
      <c r="H827">
        <v>5</v>
      </c>
      <c r="I827">
        <v>474</v>
      </c>
      <c r="J827">
        <v>2370</v>
      </c>
      <c r="K827" t="str">
        <f>TEXT(Table1[[#This Row],[Date]],"dddd")</f>
        <v>Friday</v>
      </c>
      <c r="L827" t="str">
        <f>TEXT(Table1[[#This Row],[Date]],"mmm-yyyy")</f>
        <v>Sep-2023</v>
      </c>
      <c r="M827">
        <f>HOUR(Table1[[#This Row],[Time]])</f>
        <v>11</v>
      </c>
    </row>
    <row r="828" spans="1:13" x14ac:dyDescent="0.3">
      <c r="A828">
        <v>1827</v>
      </c>
      <c r="B828" s="3">
        <v>45177.762301921299</v>
      </c>
      <c r="C828" s="1">
        <v>45177.762301921299</v>
      </c>
      <c r="D828" t="s">
        <v>85</v>
      </c>
      <c r="E828" t="s">
        <v>28</v>
      </c>
      <c r="F828" t="s">
        <v>39</v>
      </c>
      <c r="G828" t="s">
        <v>40</v>
      </c>
      <c r="H828">
        <v>2</v>
      </c>
      <c r="I828">
        <v>107</v>
      </c>
      <c r="J828">
        <v>214</v>
      </c>
      <c r="K828" t="str">
        <f>TEXT(Table1[[#This Row],[Date]],"dddd")</f>
        <v>Friday</v>
      </c>
      <c r="L828" t="str">
        <f>TEXT(Table1[[#This Row],[Date]],"mmm-yyyy")</f>
        <v>Sep-2023</v>
      </c>
      <c r="M828">
        <f>HOUR(Table1[[#This Row],[Time]])</f>
        <v>18</v>
      </c>
    </row>
    <row r="829" spans="1:13" x14ac:dyDescent="0.3">
      <c r="A829">
        <v>1828</v>
      </c>
      <c r="B829" s="3">
        <v>45178.065888240744</v>
      </c>
      <c r="C829" s="1">
        <v>45178.065888240744</v>
      </c>
      <c r="D829" t="s">
        <v>164</v>
      </c>
      <c r="E829" t="s">
        <v>17</v>
      </c>
      <c r="F829" t="s">
        <v>15</v>
      </c>
      <c r="G829" t="s">
        <v>12</v>
      </c>
      <c r="H829">
        <v>4</v>
      </c>
      <c r="I829">
        <v>440</v>
      </c>
      <c r="J829">
        <v>1760</v>
      </c>
      <c r="K829" t="str">
        <f>TEXT(Table1[[#This Row],[Date]],"dddd")</f>
        <v>Saturday</v>
      </c>
      <c r="L829" t="str">
        <f>TEXT(Table1[[#This Row],[Date]],"mmm-yyyy")</f>
        <v>Sep-2023</v>
      </c>
      <c r="M829">
        <f>HOUR(Table1[[#This Row],[Time]])</f>
        <v>1</v>
      </c>
    </row>
    <row r="830" spans="1:13" x14ac:dyDescent="0.3">
      <c r="A830">
        <v>1829</v>
      </c>
      <c r="B830" s="3">
        <v>45178.369474560182</v>
      </c>
      <c r="C830" s="1">
        <v>45178.369474560182</v>
      </c>
      <c r="D830" t="s">
        <v>154</v>
      </c>
      <c r="E830" t="s">
        <v>14</v>
      </c>
      <c r="F830" t="s">
        <v>11</v>
      </c>
      <c r="G830" t="s">
        <v>22</v>
      </c>
      <c r="H830">
        <v>2</v>
      </c>
      <c r="I830">
        <v>228</v>
      </c>
      <c r="J830">
        <v>456</v>
      </c>
      <c r="K830" t="str">
        <f>TEXT(Table1[[#This Row],[Date]],"dddd")</f>
        <v>Saturday</v>
      </c>
      <c r="L830" t="str">
        <f>TEXT(Table1[[#This Row],[Date]],"mmm-yyyy")</f>
        <v>Sep-2023</v>
      </c>
      <c r="M830">
        <f>HOUR(Table1[[#This Row],[Time]])</f>
        <v>8</v>
      </c>
    </row>
    <row r="831" spans="1:13" x14ac:dyDescent="0.3">
      <c r="A831">
        <v>1830</v>
      </c>
      <c r="B831" s="3">
        <v>45178.673060879628</v>
      </c>
      <c r="C831" s="1">
        <v>45178.673060879628</v>
      </c>
      <c r="D831" t="s">
        <v>143</v>
      </c>
      <c r="E831" t="s">
        <v>17</v>
      </c>
      <c r="F831" t="s">
        <v>39</v>
      </c>
      <c r="G831" t="s">
        <v>29</v>
      </c>
      <c r="H831">
        <v>1</v>
      </c>
      <c r="I831">
        <v>875</v>
      </c>
      <c r="J831">
        <v>875</v>
      </c>
      <c r="K831" t="str">
        <f>TEXT(Table1[[#This Row],[Date]],"dddd")</f>
        <v>Saturday</v>
      </c>
      <c r="L831" t="str">
        <f>TEXT(Table1[[#This Row],[Date]],"mmm-yyyy")</f>
        <v>Sep-2023</v>
      </c>
      <c r="M831">
        <f>HOUR(Table1[[#This Row],[Time]])</f>
        <v>16</v>
      </c>
    </row>
    <row r="832" spans="1:13" x14ac:dyDescent="0.3">
      <c r="A832">
        <v>1831</v>
      </c>
      <c r="B832" s="3">
        <v>45178.976647210649</v>
      </c>
      <c r="C832" s="1">
        <v>45178.976647210649</v>
      </c>
      <c r="D832" t="s">
        <v>205</v>
      </c>
      <c r="E832" t="s">
        <v>28</v>
      </c>
      <c r="F832" t="s">
        <v>24</v>
      </c>
      <c r="G832" t="s">
        <v>42</v>
      </c>
      <c r="H832">
        <v>4</v>
      </c>
      <c r="I832">
        <v>768</v>
      </c>
      <c r="J832">
        <v>3072</v>
      </c>
      <c r="K832" t="str">
        <f>TEXT(Table1[[#This Row],[Date]],"dddd")</f>
        <v>Saturday</v>
      </c>
      <c r="L832" t="str">
        <f>TEXT(Table1[[#This Row],[Date]],"mmm-yyyy")</f>
        <v>Sep-2023</v>
      </c>
      <c r="M832">
        <f>HOUR(Table1[[#This Row],[Time]])</f>
        <v>23</v>
      </c>
    </row>
    <row r="833" spans="1:13" x14ac:dyDescent="0.3">
      <c r="A833">
        <v>1832</v>
      </c>
      <c r="B833" s="3">
        <v>45179.280233530095</v>
      </c>
      <c r="C833" s="1">
        <v>45179.280233530095</v>
      </c>
      <c r="D833" t="s">
        <v>309</v>
      </c>
      <c r="E833" t="s">
        <v>28</v>
      </c>
      <c r="F833" t="s">
        <v>15</v>
      </c>
      <c r="G833" t="s">
        <v>29</v>
      </c>
      <c r="H833">
        <v>3</v>
      </c>
      <c r="I833">
        <v>451</v>
      </c>
      <c r="J833">
        <v>1353</v>
      </c>
      <c r="K833" t="str">
        <f>TEXT(Table1[[#This Row],[Date]],"dddd")</f>
        <v>Sunday</v>
      </c>
      <c r="L833" t="str">
        <f>TEXT(Table1[[#This Row],[Date]],"mmm-yyyy")</f>
        <v>Sep-2023</v>
      </c>
      <c r="M833">
        <f>HOUR(Table1[[#This Row],[Time]])</f>
        <v>6</v>
      </c>
    </row>
    <row r="834" spans="1:13" x14ac:dyDescent="0.3">
      <c r="A834">
        <v>1833</v>
      </c>
      <c r="B834" s="3">
        <v>45179.58381984954</v>
      </c>
      <c r="C834" s="1">
        <v>45179.58381984954</v>
      </c>
      <c r="D834" t="s">
        <v>157</v>
      </c>
      <c r="E834" t="s">
        <v>28</v>
      </c>
      <c r="F834" t="s">
        <v>11</v>
      </c>
      <c r="G834" t="s">
        <v>33</v>
      </c>
      <c r="H834">
        <v>2</v>
      </c>
      <c r="I834">
        <v>457</v>
      </c>
      <c r="J834">
        <v>914</v>
      </c>
      <c r="K834" t="str">
        <f>TEXT(Table1[[#This Row],[Date]],"dddd")</f>
        <v>Sunday</v>
      </c>
      <c r="L834" t="str">
        <f>TEXT(Table1[[#This Row],[Date]],"mmm-yyyy")</f>
        <v>Sep-2023</v>
      </c>
      <c r="M834">
        <f>HOUR(Table1[[#This Row],[Time]])</f>
        <v>14</v>
      </c>
    </row>
    <row r="835" spans="1:13" x14ac:dyDescent="0.3">
      <c r="A835">
        <v>1834</v>
      </c>
      <c r="B835" s="3">
        <v>45179.887406168978</v>
      </c>
      <c r="C835" s="1">
        <v>45179.887406168978</v>
      </c>
      <c r="D835" t="s">
        <v>65</v>
      </c>
      <c r="E835" t="s">
        <v>10</v>
      </c>
      <c r="F835" t="s">
        <v>18</v>
      </c>
      <c r="G835" t="s">
        <v>22</v>
      </c>
      <c r="H835">
        <v>1</v>
      </c>
      <c r="I835">
        <v>616</v>
      </c>
      <c r="J835">
        <v>616</v>
      </c>
      <c r="K835" t="str">
        <f>TEXT(Table1[[#This Row],[Date]],"dddd")</f>
        <v>Sunday</v>
      </c>
      <c r="L835" t="str">
        <f>TEXT(Table1[[#This Row],[Date]],"mmm-yyyy")</f>
        <v>Sep-2023</v>
      </c>
      <c r="M835">
        <f>HOUR(Table1[[#This Row],[Time]])</f>
        <v>21</v>
      </c>
    </row>
    <row r="836" spans="1:13" x14ac:dyDescent="0.3">
      <c r="A836">
        <v>1835</v>
      </c>
      <c r="B836" s="3">
        <v>45180.190992488424</v>
      </c>
      <c r="C836" s="1">
        <v>45180.190992488424</v>
      </c>
      <c r="D836" t="s">
        <v>121</v>
      </c>
      <c r="E836" t="s">
        <v>28</v>
      </c>
      <c r="F836" t="s">
        <v>18</v>
      </c>
      <c r="G836" t="s">
        <v>19</v>
      </c>
      <c r="H836">
        <v>5</v>
      </c>
      <c r="I836">
        <v>594</v>
      </c>
      <c r="J836">
        <v>2970</v>
      </c>
      <c r="K836" t="str">
        <f>TEXT(Table1[[#This Row],[Date]],"dddd")</f>
        <v>Monday</v>
      </c>
      <c r="L836" t="str">
        <f>TEXT(Table1[[#This Row],[Date]],"mmm-yyyy")</f>
        <v>Sep-2023</v>
      </c>
      <c r="M836">
        <f>HOUR(Table1[[#This Row],[Time]])</f>
        <v>4</v>
      </c>
    </row>
    <row r="837" spans="1:13" x14ac:dyDescent="0.3">
      <c r="A837">
        <v>1836</v>
      </c>
      <c r="B837" s="3">
        <v>45180.494578819445</v>
      </c>
      <c r="C837" s="1">
        <v>45180.494578819445</v>
      </c>
      <c r="D837" t="s">
        <v>257</v>
      </c>
      <c r="E837" t="s">
        <v>28</v>
      </c>
      <c r="F837" t="s">
        <v>18</v>
      </c>
      <c r="G837" t="s">
        <v>25</v>
      </c>
      <c r="H837">
        <v>4</v>
      </c>
      <c r="I837">
        <v>185</v>
      </c>
      <c r="J837">
        <v>740</v>
      </c>
      <c r="K837" t="str">
        <f>TEXT(Table1[[#This Row],[Date]],"dddd")</f>
        <v>Monday</v>
      </c>
      <c r="L837" t="str">
        <f>TEXT(Table1[[#This Row],[Date]],"mmm-yyyy")</f>
        <v>Sep-2023</v>
      </c>
      <c r="M837">
        <f>HOUR(Table1[[#This Row],[Time]])</f>
        <v>11</v>
      </c>
    </row>
    <row r="838" spans="1:13" x14ac:dyDescent="0.3">
      <c r="A838">
        <v>1837</v>
      </c>
      <c r="B838" s="3">
        <v>45180.798165138891</v>
      </c>
      <c r="C838" s="1">
        <v>45180.798165138891</v>
      </c>
      <c r="D838" t="s">
        <v>182</v>
      </c>
      <c r="E838" t="s">
        <v>14</v>
      </c>
      <c r="F838" t="s">
        <v>15</v>
      </c>
      <c r="G838" t="s">
        <v>25</v>
      </c>
      <c r="H838">
        <v>2</v>
      </c>
      <c r="I838">
        <v>274</v>
      </c>
      <c r="J838">
        <v>548</v>
      </c>
      <c r="K838" t="str">
        <f>TEXT(Table1[[#This Row],[Date]],"dddd")</f>
        <v>Monday</v>
      </c>
      <c r="L838" t="str">
        <f>TEXT(Table1[[#This Row],[Date]],"mmm-yyyy")</f>
        <v>Sep-2023</v>
      </c>
      <c r="M838">
        <f>HOUR(Table1[[#This Row],[Time]])</f>
        <v>19</v>
      </c>
    </row>
    <row r="839" spans="1:13" x14ac:dyDescent="0.3">
      <c r="A839">
        <v>1838</v>
      </c>
      <c r="B839" s="3">
        <v>45181.101751458336</v>
      </c>
      <c r="C839" s="1">
        <v>45181.101751458336</v>
      </c>
      <c r="D839" t="s">
        <v>222</v>
      </c>
      <c r="E839" t="s">
        <v>10</v>
      </c>
      <c r="F839" t="s">
        <v>39</v>
      </c>
      <c r="G839" t="s">
        <v>42</v>
      </c>
      <c r="H839">
        <v>2</v>
      </c>
      <c r="I839">
        <v>901</v>
      </c>
      <c r="J839">
        <v>1802</v>
      </c>
      <c r="K839" t="str">
        <f>TEXT(Table1[[#This Row],[Date]],"dddd")</f>
        <v>Tuesday</v>
      </c>
      <c r="L839" t="str">
        <f>TEXT(Table1[[#This Row],[Date]],"mmm-yyyy")</f>
        <v>Sep-2023</v>
      </c>
      <c r="M839">
        <f>HOUR(Table1[[#This Row],[Time]])</f>
        <v>2</v>
      </c>
    </row>
    <row r="840" spans="1:13" x14ac:dyDescent="0.3">
      <c r="A840">
        <v>1839</v>
      </c>
      <c r="B840" s="3">
        <v>45181.405337777775</v>
      </c>
      <c r="C840" s="1">
        <v>45181.405337777775</v>
      </c>
      <c r="D840" t="s">
        <v>130</v>
      </c>
      <c r="E840" t="s">
        <v>10</v>
      </c>
      <c r="F840" t="s">
        <v>15</v>
      </c>
      <c r="G840" t="s">
        <v>42</v>
      </c>
      <c r="H840">
        <v>3</v>
      </c>
      <c r="I840">
        <v>292</v>
      </c>
      <c r="J840">
        <v>876</v>
      </c>
      <c r="K840" t="str">
        <f>TEXT(Table1[[#This Row],[Date]],"dddd")</f>
        <v>Tuesday</v>
      </c>
      <c r="L840" t="str">
        <f>TEXT(Table1[[#This Row],[Date]],"mmm-yyyy")</f>
        <v>Sep-2023</v>
      </c>
      <c r="M840">
        <f>HOUR(Table1[[#This Row],[Time]])</f>
        <v>9</v>
      </c>
    </row>
    <row r="841" spans="1:13" x14ac:dyDescent="0.3">
      <c r="A841">
        <v>1840</v>
      </c>
      <c r="B841" s="3">
        <v>45181.708924108796</v>
      </c>
      <c r="C841" s="1">
        <v>45181.708924108796</v>
      </c>
      <c r="D841" t="s">
        <v>137</v>
      </c>
      <c r="E841" t="s">
        <v>17</v>
      </c>
      <c r="F841" t="s">
        <v>18</v>
      </c>
      <c r="G841" t="s">
        <v>22</v>
      </c>
      <c r="H841">
        <v>3</v>
      </c>
      <c r="I841">
        <v>410</v>
      </c>
      <c r="J841">
        <v>1230</v>
      </c>
      <c r="K841" t="str">
        <f>TEXT(Table1[[#This Row],[Date]],"dddd")</f>
        <v>Tuesday</v>
      </c>
      <c r="L841" t="str">
        <f>TEXT(Table1[[#This Row],[Date]],"mmm-yyyy")</f>
        <v>Sep-2023</v>
      </c>
      <c r="M841">
        <f>HOUR(Table1[[#This Row],[Time]])</f>
        <v>17</v>
      </c>
    </row>
    <row r="842" spans="1:13" x14ac:dyDescent="0.3">
      <c r="A842">
        <v>1841</v>
      </c>
      <c r="B842" s="3">
        <v>45182.012510428242</v>
      </c>
      <c r="C842" s="1">
        <v>45182.012510428242</v>
      </c>
      <c r="D842" t="s">
        <v>113</v>
      </c>
      <c r="E842" t="s">
        <v>28</v>
      </c>
      <c r="F842" t="s">
        <v>39</v>
      </c>
      <c r="G842" t="s">
        <v>40</v>
      </c>
      <c r="H842">
        <v>5</v>
      </c>
      <c r="I842">
        <v>218</v>
      </c>
      <c r="J842">
        <v>1090</v>
      </c>
      <c r="K842" t="str">
        <f>TEXT(Table1[[#This Row],[Date]],"dddd")</f>
        <v>Wednesday</v>
      </c>
      <c r="L842" t="str">
        <f>TEXT(Table1[[#This Row],[Date]],"mmm-yyyy")</f>
        <v>Sep-2023</v>
      </c>
      <c r="M842">
        <f>HOUR(Table1[[#This Row],[Time]])</f>
        <v>0</v>
      </c>
    </row>
    <row r="843" spans="1:13" x14ac:dyDescent="0.3">
      <c r="A843">
        <v>1842</v>
      </c>
      <c r="B843" s="3">
        <v>45182.316096747687</v>
      </c>
      <c r="C843" s="1">
        <v>45182.316096747687</v>
      </c>
      <c r="D843" t="s">
        <v>157</v>
      </c>
      <c r="E843" t="s">
        <v>14</v>
      </c>
      <c r="F843" t="s">
        <v>11</v>
      </c>
      <c r="G843" t="s">
        <v>33</v>
      </c>
      <c r="H843">
        <v>5</v>
      </c>
      <c r="I843">
        <v>317</v>
      </c>
      <c r="J843">
        <v>1585</v>
      </c>
      <c r="K843" t="str">
        <f>TEXT(Table1[[#This Row],[Date]],"dddd")</f>
        <v>Wednesday</v>
      </c>
      <c r="L843" t="str">
        <f>TEXT(Table1[[#This Row],[Date]],"mmm-yyyy")</f>
        <v>Sep-2023</v>
      </c>
      <c r="M843">
        <f>HOUR(Table1[[#This Row],[Time]])</f>
        <v>7</v>
      </c>
    </row>
    <row r="844" spans="1:13" x14ac:dyDescent="0.3">
      <c r="A844">
        <v>1843</v>
      </c>
      <c r="B844" s="3">
        <v>45182.619683067132</v>
      </c>
      <c r="C844" s="1">
        <v>45182.619683067132</v>
      </c>
      <c r="D844" t="s">
        <v>202</v>
      </c>
      <c r="E844" t="s">
        <v>17</v>
      </c>
      <c r="F844" t="s">
        <v>18</v>
      </c>
      <c r="G844" t="s">
        <v>12</v>
      </c>
      <c r="H844">
        <v>1</v>
      </c>
      <c r="I844">
        <v>526</v>
      </c>
      <c r="J844">
        <v>526</v>
      </c>
      <c r="K844" t="str">
        <f>TEXT(Table1[[#This Row],[Date]],"dddd")</f>
        <v>Wednesday</v>
      </c>
      <c r="L844" t="str">
        <f>TEXT(Table1[[#This Row],[Date]],"mmm-yyyy")</f>
        <v>Sep-2023</v>
      </c>
      <c r="M844">
        <f>HOUR(Table1[[#This Row],[Time]])</f>
        <v>14</v>
      </c>
    </row>
    <row r="845" spans="1:13" x14ac:dyDescent="0.3">
      <c r="A845">
        <v>1844</v>
      </c>
      <c r="B845" s="3">
        <v>45182.923269386571</v>
      </c>
      <c r="C845" s="1">
        <v>45182.923269386571</v>
      </c>
      <c r="D845" t="s">
        <v>206</v>
      </c>
      <c r="E845" t="s">
        <v>28</v>
      </c>
      <c r="F845" t="s">
        <v>24</v>
      </c>
      <c r="G845" t="s">
        <v>12</v>
      </c>
      <c r="H845">
        <v>1</v>
      </c>
      <c r="I845">
        <v>513</v>
      </c>
      <c r="J845">
        <v>513</v>
      </c>
      <c r="K845" t="str">
        <f>TEXT(Table1[[#This Row],[Date]],"dddd")</f>
        <v>Wednesday</v>
      </c>
      <c r="L845" t="str">
        <f>TEXT(Table1[[#This Row],[Date]],"mmm-yyyy")</f>
        <v>Sep-2023</v>
      </c>
      <c r="M845">
        <f>HOUR(Table1[[#This Row],[Time]])</f>
        <v>22</v>
      </c>
    </row>
    <row r="846" spans="1:13" x14ac:dyDescent="0.3">
      <c r="A846">
        <v>1845</v>
      </c>
      <c r="B846" s="3">
        <v>45183.226855717592</v>
      </c>
      <c r="C846" s="1">
        <v>45183.226855717592</v>
      </c>
      <c r="D846" t="s">
        <v>294</v>
      </c>
      <c r="E846" t="s">
        <v>10</v>
      </c>
      <c r="F846" t="s">
        <v>39</v>
      </c>
      <c r="G846" t="s">
        <v>35</v>
      </c>
      <c r="H846">
        <v>5</v>
      </c>
      <c r="I846">
        <v>213</v>
      </c>
      <c r="J846">
        <v>1065</v>
      </c>
      <c r="K846" t="str">
        <f>TEXT(Table1[[#This Row],[Date]],"dddd")</f>
        <v>Thursday</v>
      </c>
      <c r="L846" t="str">
        <f>TEXT(Table1[[#This Row],[Date]],"mmm-yyyy")</f>
        <v>Sep-2023</v>
      </c>
      <c r="M846">
        <f>HOUR(Table1[[#This Row],[Time]])</f>
        <v>5</v>
      </c>
    </row>
    <row r="847" spans="1:13" x14ac:dyDescent="0.3">
      <c r="A847">
        <v>1846</v>
      </c>
      <c r="B847" s="3">
        <v>45183.530442037038</v>
      </c>
      <c r="C847" s="1">
        <v>45183.530442037038</v>
      </c>
      <c r="D847" t="s">
        <v>140</v>
      </c>
      <c r="E847" t="s">
        <v>28</v>
      </c>
      <c r="F847" t="s">
        <v>15</v>
      </c>
      <c r="G847" t="s">
        <v>33</v>
      </c>
      <c r="H847">
        <v>5</v>
      </c>
      <c r="I847">
        <v>244</v>
      </c>
      <c r="J847">
        <v>1220</v>
      </c>
      <c r="K847" t="str">
        <f>TEXT(Table1[[#This Row],[Date]],"dddd")</f>
        <v>Thursday</v>
      </c>
      <c r="L847" t="str">
        <f>TEXT(Table1[[#This Row],[Date]],"mmm-yyyy")</f>
        <v>Sep-2023</v>
      </c>
      <c r="M847">
        <f>HOUR(Table1[[#This Row],[Time]])</f>
        <v>12</v>
      </c>
    </row>
    <row r="848" spans="1:13" x14ac:dyDescent="0.3">
      <c r="A848">
        <v>1847</v>
      </c>
      <c r="B848" s="3">
        <v>45183.834028356483</v>
      </c>
      <c r="C848" s="1">
        <v>45183.834028356483</v>
      </c>
      <c r="D848" t="s">
        <v>123</v>
      </c>
      <c r="E848" t="s">
        <v>28</v>
      </c>
      <c r="F848" t="s">
        <v>15</v>
      </c>
      <c r="G848" t="s">
        <v>35</v>
      </c>
      <c r="H848">
        <v>4</v>
      </c>
      <c r="I848">
        <v>637</v>
      </c>
      <c r="J848">
        <v>2548</v>
      </c>
      <c r="K848" t="str">
        <f>TEXT(Table1[[#This Row],[Date]],"dddd")</f>
        <v>Thursday</v>
      </c>
      <c r="L848" t="str">
        <f>TEXT(Table1[[#This Row],[Date]],"mmm-yyyy")</f>
        <v>Sep-2023</v>
      </c>
      <c r="M848">
        <f>HOUR(Table1[[#This Row],[Time]])</f>
        <v>20</v>
      </c>
    </row>
    <row r="849" spans="1:13" x14ac:dyDescent="0.3">
      <c r="A849">
        <v>1848</v>
      </c>
      <c r="B849" s="3">
        <v>45184.137614675928</v>
      </c>
      <c r="C849" s="1">
        <v>45184.137614675928</v>
      </c>
      <c r="D849" t="s">
        <v>43</v>
      </c>
      <c r="E849" t="s">
        <v>14</v>
      </c>
      <c r="F849" t="s">
        <v>24</v>
      </c>
      <c r="G849" t="s">
        <v>56</v>
      </c>
      <c r="H849">
        <v>3</v>
      </c>
      <c r="I849">
        <v>747</v>
      </c>
      <c r="J849">
        <v>2241</v>
      </c>
      <c r="K849" t="str">
        <f>TEXT(Table1[[#This Row],[Date]],"dddd")</f>
        <v>Friday</v>
      </c>
      <c r="L849" t="str">
        <f>TEXT(Table1[[#This Row],[Date]],"mmm-yyyy")</f>
        <v>Sep-2023</v>
      </c>
      <c r="M849">
        <f>HOUR(Table1[[#This Row],[Time]])</f>
        <v>3</v>
      </c>
    </row>
    <row r="850" spans="1:13" x14ac:dyDescent="0.3">
      <c r="A850">
        <v>1849</v>
      </c>
      <c r="B850" s="3">
        <v>45184.441200995374</v>
      </c>
      <c r="C850" s="1">
        <v>45184.441200995374</v>
      </c>
      <c r="D850" t="s">
        <v>114</v>
      </c>
      <c r="E850" t="s">
        <v>14</v>
      </c>
      <c r="F850" t="s">
        <v>15</v>
      </c>
      <c r="G850" t="s">
        <v>19</v>
      </c>
      <c r="H850">
        <v>1</v>
      </c>
      <c r="I850">
        <v>402</v>
      </c>
      <c r="J850">
        <v>402</v>
      </c>
      <c r="K850" t="str">
        <f>TEXT(Table1[[#This Row],[Date]],"dddd")</f>
        <v>Friday</v>
      </c>
      <c r="L850" t="str">
        <f>TEXT(Table1[[#This Row],[Date]],"mmm-yyyy")</f>
        <v>Sep-2023</v>
      </c>
      <c r="M850">
        <f>HOUR(Table1[[#This Row],[Time]])</f>
        <v>10</v>
      </c>
    </row>
    <row r="851" spans="1:13" x14ac:dyDescent="0.3">
      <c r="A851">
        <v>1850</v>
      </c>
      <c r="B851" s="3">
        <v>45184.744787326388</v>
      </c>
      <c r="C851" s="1">
        <v>45184.744787326388</v>
      </c>
      <c r="D851" t="s">
        <v>93</v>
      </c>
      <c r="E851" t="s">
        <v>14</v>
      </c>
      <c r="F851" t="s">
        <v>24</v>
      </c>
      <c r="G851" t="s">
        <v>19</v>
      </c>
      <c r="H851">
        <v>3</v>
      </c>
      <c r="I851">
        <v>843</v>
      </c>
      <c r="J851">
        <v>2529</v>
      </c>
      <c r="K851" t="str">
        <f>TEXT(Table1[[#This Row],[Date]],"dddd")</f>
        <v>Friday</v>
      </c>
      <c r="L851" t="str">
        <f>TEXT(Table1[[#This Row],[Date]],"mmm-yyyy")</f>
        <v>Sep-2023</v>
      </c>
      <c r="M851">
        <f>HOUR(Table1[[#This Row],[Time]])</f>
        <v>17</v>
      </c>
    </row>
    <row r="852" spans="1:13" x14ac:dyDescent="0.3">
      <c r="A852">
        <v>1851</v>
      </c>
      <c r="B852" s="3">
        <v>45185.048373645834</v>
      </c>
      <c r="C852" s="1">
        <v>45185.048373645834</v>
      </c>
      <c r="D852" t="s">
        <v>264</v>
      </c>
      <c r="E852" t="s">
        <v>17</v>
      </c>
      <c r="F852" t="s">
        <v>18</v>
      </c>
      <c r="G852" t="s">
        <v>22</v>
      </c>
      <c r="H852">
        <v>3</v>
      </c>
      <c r="I852">
        <v>980</v>
      </c>
      <c r="J852">
        <v>2940</v>
      </c>
      <c r="K852" t="str">
        <f>TEXT(Table1[[#This Row],[Date]],"dddd")</f>
        <v>Saturday</v>
      </c>
      <c r="L852" t="str">
        <f>TEXT(Table1[[#This Row],[Date]],"mmm-yyyy")</f>
        <v>Sep-2023</v>
      </c>
      <c r="M852">
        <f>HOUR(Table1[[#This Row],[Time]])</f>
        <v>1</v>
      </c>
    </row>
    <row r="853" spans="1:13" x14ac:dyDescent="0.3">
      <c r="A853">
        <v>1852</v>
      </c>
      <c r="B853" s="3">
        <v>45185.351959965279</v>
      </c>
      <c r="C853" s="1">
        <v>45185.351959965279</v>
      </c>
      <c r="D853" t="s">
        <v>163</v>
      </c>
      <c r="E853" t="s">
        <v>14</v>
      </c>
      <c r="F853" t="s">
        <v>18</v>
      </c>
      <c r="G853" t="s">
        <v>35</v>
      </c>
      <c r="H853">
        <v>5</v>
      </c>
      <c r="I853">
        <v>687</v>
      </c>
      <c r="J853">
        <v>3435</v>
      </c>
      <c r="K853" t="str">
        <f>TEXT(Table1[[#This Row],[Date]],"dddd")</f>
        <v>Saturday</v>
      </c>
      <c r="L853" t="str">
        <f>TEXT(Table1[[#This Row],[Date]],"mmm-yyyy")</f>
        <v>Sep-2023</v>
      </c>
      <c r="M853">
        <f>HOUR(Table1[[#This Row],[Time]])</f>
        <v>8</v>
      </c>
    </row>
    <row r="854" spans="1:13" x14ac:dyDescent="0.3">
      <c r="A854">
        <v>1853</v>
      </c>
      <c r="B854" s="3">
        <v>45185.655546284725</v>
      </c>
      <c r="C854" s="1">
        <v>45185.655546284725</v>
      </c>
      <c r="D854" t="s">
        <v>96</v>
      </c>
      <c r="E854" t="s">
        <v>17</v>
      </c>
      <c r="F854" t="s">
        <v>15</v>
      </c>
      <c r="G854" t="s">
        <v>40</v>
      </c>
      <c r="H854">
        <v>4</v>
      </c>
      <c r="I854">
        <v>939</v>
      </c>
      <c r="J854">
        <v>3756</v>
      </c>
      <c r="K854" t="str">
        <f>TEXT(Table1[[#This Row],[Date]],"dddd")</f>
        <v>Saturday</v>
      </c>
      <c r="L854" t="str">
        <f>TEXT(Table1[[#This Row],[Date]],"mmm-yyyy")</f>
        <v>Sep-2023</v>
      </c>
      <c r="M854">
        <f>HOUR(Table1[[#This Row],[Time]])</f>
        <v>15</v>
      </c>
    </row>
    <row r="855" spans="1:13" x14ac:dyDescent="0.3">
      <c r="A855">
        <v>1854</v>
      </c>
      <c r="B855" s="3">
        <v>45185.959132615739</v>
      </c>
      <c r="C855" s="1">
        <v>45185.959132615739</v>
      </c>
      <c r="D855" t="s">
        <v>71</v>
      </c>
      <c r="E855" t="s">
        <v>28</v>
      </c>
      <c r="F855" t="s">
        <v>39</v>
      </c>
      <c r="G855" t="s">
        <v>33</v>
      </c>
      <c r="H855">
        <v>2</v>
      </c>
      <c r="I855">
        <v>444</v>
      </c>
      <c r="J855">
        <v>888</v>
      </c>
      <c r="K855" t="str">
        <f>TEXT(Table1[[#This Row],[Date]],"dddd")</f>
        <v>Saturday</v>
      </c>
      <c r="L855" t="str">
        <f>TEXT(Table1[[#This Row],[Date]],"mmm-yyyy")</f>
        <v>Sep-2023</v>
      </c>
      <c r="M855">
        <f>HOUR(Table1[[#This Row],[Time]])</f>
        <v>23</v>
      </c>
    </row>
    <row r="856" spans="1:13" x14ac:dyDescent="0.3">
      <c r="A856">
        <v>1855</v>
      </c>
      <c r="B856" s="3">
        <v>45186.262718935184</v>
      </c>
      <c r="C856" s="1">
        <v>45186.262718935184</v>
      </c>
      <c r="D856" t="s">
        <v>206</v>
      </c>
      <c r="E856" t="s">
        <v>17</v>
      </c>
      <c r="F856" t="s">
        <v>15</v>
      </c>
      <c r="G856" t="s">
        <v>12</v>
      </c>
      <c r="H856">
        <v>4</v>
      </c>
      <c r="I856">
        <v>913</v>
      </c>
      <c r="J856">
        <v>3652</v>
      </c>
      <c r="K856" t="str">
        <f>TEXT(Table1[[#This Row],[Date]],"dddd")</f>
        <v>Sunday</v>
      </c>
      <c r="L856" t="str">
        <f>TEXT(Table1[[#This Row],[Date]],"mmm-yyyy")</f>
        <v>Sep-2023</v>
      </c>
      <c r="M856">
        <f>HOUR(Table1[[#This Row],[Time]])</f>
        <v>6</v>
      </c>
    </row>
    <row r="857" spans="1:13" x14ac:dyDescent="0.3">
      <c r="A857">
        <v>1856</v>
      </c>
      <c r="B857" s="3">
        <v>45186.56630525463</v>
      </c>
      <c r="C857" s="1">
        <v>45186.56630525463</v>
      </c>
      <c r="D857" t="s">
        <v>254</v>
      </c>
      <c r="E857" t="s">
        <v>17</v>
      </c>
      <c r="F857" t="s">
        <v>18</v>
      </c>
      <c r="G857" t="s">
        <v>19</v>
      </c>
      <c r="H857">
        <v>4</v>
      </c>
      <c r="I857">
        <v>900</v>
      </c>
      <c r="J857">
        <v>3600</v>
      </c>
      <c r="K857" t="str">
        <f>TEXT(Table1[[#This Row],[Date]],"dddd")</f>
        <v>Sunday</v>
      </c>
      <c r="L857" t="str">
        <f>TEXT(Table1[[#This Row],[Date]],"mmm-yyyy")</f>
        <v>Sep-2023</v>
      </c>
      <c r="M857">
        <f>HOUR(Table1[[#This Row],[Time]])</f>
        <v>13</v>
      </c>
    </row>
    <row r="858" spans="1:13" x14ac:dyDescent="0.3">
      <c r="A858">
        <v>1857</v>
      </c>
      <c r="B858" s="3">
        <v>45186.869891574075</v>
      </c>
      <c r="C858" s="1">
        <v>45186.869891574075</v>
      </c>
      <c r="D858" t="s">
        <v>238</v>
      </c>
      <c r="E858" t="s">
        <v>14</v>
      </c>
      <c r="F858" t="s">
        <v>39</v>
      </c>
      <c r="G858" t="s">
        <v>29</v>
      </c>
      <c r="H858">
        <v>3</v>
      </c>
      <c r="I858">
        <v>100</v>
      </c>
      <c r="J858">
        <v>300</v>
      </c>
      <c r="K858" t="str">
        <f>TEXT(Table1[[#This Row],[Date]],"dddd")</f>
        <v>Sunday</v>
      </c>
      <c r="L858" t="str">
        <f>TEXT(Table1[[#This Row],[Date]],"mmm-yyyy")</f>
        <v>Sep-2023</v>
      </c>
      <c r="M858">
        <f>HOUR(Table1[[#This Row],[Time]])</f>
        <v>20</v>
      </c>
    </row>
    <row r="859" spans="1:13" x14ac:dyDescent="0.3">
      <c r="A859">
        <v>1858</v>
      </c>
      <c r="B859" s="3">
        <v>45187.173477893521</v>
      </c>
      <c r="C859" s="1">
        <v>45187.173477893521</v>
      </c>
      <c r="D859" t="s">
        <v>270</v>
      </c>
      <c r="E859" t="s">
        <v>14</v>
      </c>
      <c r="F859" t="s">
        <v>24</v>
      </c>
      <c r="G859" t="s">
        <v>33</v>
      </c>
      <c r="H859">
        <v>4</v>
      </c>
      <c r="I859">
        <v>246</v>
      </c>
      <c r="J859">
        <v>984</v>
      </c>
      <c r="K859" t="str">
        <f>TEXT(Table1[[#This Row],[Date]],"dddd")</f>
        <v>Monday</v>
      </c>
      <c r="L859" t="str">
        <f>TEXT(Table1[[#This Row],[Date]],"mmm-yyyy")</f>
        <v>Sep-2023</v>
      </c>
      <c r="M859">
        <f>HOUR(Table1[[#This Row],[Time]])</f>
        <v>4</v>
      </c>
    </row>
    <row r="860" spans="1:13" x14ac:dyDescent="0.3">
      <c r="A860">
        <v>1859</v>
      </c>
      <c r="B860" s="3">
        <v>45187.477064224535</v>
      </c>
      <c r="C860" s="1">
        <v>45187.477064224535</v>
      </c>
      <c r="D860" t="s">
        <v>187</v>
      </c>
      <c r="E860" t="s">
        <v>10</v>
      </c>
      <c r="F860" t="s">
        <v>18</v>
      </c>
      <c r="G860" t="s">
        <v>19</v>
      </c>
      <c r="H860">
        <v>1</v>
      </c>
      <c r="I860">
        <v>386</v>
      </c>
      <c r="J860">
        <v>386</v>
      </c>
      <c r="K860" t="str">
        <f>TEXT(Table1[[#This Row],[Date]],"dddd")</f>
        <v>Monday</v>
      </c>
      <c r="L860" t="str">
        <f>TEXT(Table1[[#This Row],[Date]],"mmm-yyyy")</f>
        <v>Sep-2023</v>
      </c>
      <c r="M860">
        <f>HOUR(Table1[[#This Row],[Time]])</f>
        <v>11</v>
      </c>
    </row>
    <row r="861" spans="1:13" x14ac:dyDescent="0.3">
      <c r="A861">
        <v>1860</v>
      </c>
      <c r="B861" s="3">
        <v>45187.78065054398</v>
      </c>
      <c r="C861" s="1">
        <v>45187.78065054398</v>
      </c>
      <c r="D861" t="s">
        <v>49</v>
      </c>
      <c r="E861" t="s">
        <v>17</v>
      </c>
      <c r="F861" t="s">
        <v>24</v>
      </c>
      <c r="G861" t="s">
        <v>22</v>
      </c>
      <c r="H861">
        <v>3</v>
      </c>
      <c r="I861">
        <v>753</v>
      </c>
      <c r="J861">
        <v>2259</v>
      </c>
      <c r="K861" t="str">
        <f>TEXT(Table1[[#This Row],[Date]],"dddd")</f>
        <v>Monday</v>
      </c>
      <c r="L861" t="str">
        <f>TEXT(Table1[[#This Row],[Date]],"mmm-yyyy")</f>
        <v>Sep-2023</v>
      </c>
      <c r="M861">
        <f>HOUR(Table1[[#This Row],[Time]])</f>
        <v>18</v>
      </c>
    </row>
    <row r="862" spans="1:13" x14ac:dyDescent="0.3">
      <c r="A862">
        <v>1861</v>
      </c>
      <c r="B862" s="3">
        <v>45188.084236863426</v>
      </c>
      <c r="C862" s="1">
        <v>45188.084236863426</v>
      </c>
      <c r="D862" t="s">
        <v>311</v>
      </c>
      <c r="E862" t="s">
        <v>28</v>
      </c>
      <c r="F862" t="s">
        <v>11</v>
      </c>
      <c r="G862" t="s">
        <v>22</v>
      </c>
      <c r="H862">
        <v>1</v>
      </c>
      <c r="I862">
        <v>152</v>
      </c>
      <c r="J862">
        <v>152</v>
      </c>
      <c r="K862" t="str">
        <f>TEXT(Table1[[#This Row],[Date]],"dddd")</f>
        <v>Tuesday</v>
      </c>
      <c r="L862" t="str">
        <f>TEXT(Table1[[#This Row],[Date]],"mmm-yyyy")</f>
        <v>Sep-2023</v>
      </c>
      <c r="M862">
        <f>HOUR(Table1[[#This Row],[Time]])</f>
        <v>2</v>
      </c>
    </row>
    <row r="863" spans="1:13" x14ac:dyDescent="0.3">
      <c r="A863">
        <v>1862</v>
      </c>
      <c r="B863" s="3">
        <v>45188.387823182871</v>
      </c>
      <c r="C863" s="1">
        <v>45188.387823182871</v>
      </c>
      <c r="D863" t="s">
        <v>107</v>
      </c>
      <c r="E863" t="s">
        <v>10</v>
      </c>
      <c r="F863" t="s">
        <v>39</v>
      </c>
      <c r="G863" t="s">
        <v>25</v>
      </c>
      <c r="H863">
        <v>2</v>
      </c>
      <c r="I863">
        <v>403</v>
      </c>
      <c r="J863">
        <v>806</v>
      </c>
      <c r="K863" t="str">
        <f>TEXT(Table1[[#This Row],[Date]],"dddd")</f>
        <v>Tuesday</v>
      </c>
      <c r="L863" t="str">
        <f>TEXT(Table1[[#This Row],[Date]],"mmm-yyyy")</f>
        <v>Sep-2023</v>
      </c>
      <c r="M863">
        <f>HOUR(Table1[[#This Row],[Time]])</f>
        <v>9</v>
      </c>
    </row>
    <row r="864" spans="1:13" x14ac:dyDescent="0.3">
      <c r="A864">
        <v>1863</v>
      </c>
      <c r="B864" s="3">
        <v>45188.691409502317</v>
      </c>
      <c r="C864" s="1">
        <v>45188.691409502317</v>
      </c>
      <c r="D864" t="s">
        <v>245</v>
      </c>
      <c r="E864" t="s">
        <v>10</v>
      </c>
      <c r="F864" t="s">
        <v>18</v>
      </c>
      <c r="G864" t="s">
        <v>25</v>
      </c>
      <c r="H864">
        <v>3</v>
      </c>
      <c r="I864">
        <v>168</v>
      </c>
      <c r="J864">
        <v>504</v>
      </c>
      <c r="K864" t="str">
        <f>TEXT(Table1[[#This Row],[Date]],"dddd")</f>
        <v>Tuesday</v>
      </c>
      <c r="L864" t="str">
        <f>TEXT(Table1[[#This Row],[Date]],"mmm-yyyy")</f>
        <v>Sep-2023</v>
      </c>
      <c r="M864">
        <f>HOUR(Table1[[#This Row],[Time]])</f>
        <v>16</v>
      </c>
    </row>
    <row r="865" spans="1:13" x14ac:dyDescent="0.3">
      <c r="A865">
        <v>1864</v>
      </c>
      <c r="B865" s="3">
        <v>45188.994995833331</v>
      </c>
      <c r="C865" s="1">
        <v>45188.994995833331</v>
      </c>
      <c r="D865" t="s">
        <v>297</v>
      </c>
      <c r="E865" t="s">
        <v>10</v>
      </c>
      <c r="F865" t="s">
        <v>24</v>
      </c>
      <c r="G865" t="s">
        <v>35</v>
      </c>
      <c r="H865">
        <v>2</v>
      </c>
      <c r="I865">
        <v>460</v>
      </c>
      <c r="J865">
        <v>920</v>
      </c>
      <c r="K865" t="str">
        <f>TEXT(Table1[[#This Row],[Date]],"dddd")</f>
        <v>Tuesday</v>
      </c>
      <c r="L865" t="str">
        <f>TEXT(Table1[[#This Row],[Date]],"mmm-yyyy")</f>
        <v>Sep-2023</v>
      </c>
      <c r="M865">
        <f>HOUR(Table1[[#This Row],[Time]])</f>
        <v>23</v>
      </c>
    </row>
    <row r="866" spans="1:13" x14ac:dyDescent="0.3">
      <c r="A866">
        <v>1865</v>
      </c>
      <c r="B866" s="3">
        <v>45189.298582152776</v>
      </c>
      <c r="C866" s="1">
        <v>45189.298582152776</v>
      </c>
      <c r="D866" t="s">
        <v>114</v>
      </c>
      <c r="E866" t="s">
        <v>14</v>
      </c>
      <c r="F866" t="s">
        <v>24</v>
      </c>
      <c r="G866" t="s">
        <v>42</v>
      </c>
      <c r="H866">
        <v>3</v>
      </c>
      <c r="I866">
        <v>701</v>
      </c>
      <c r="J866">
        <v>2103</v>
      </c>
      <c r="K866" t="str">
        <f>TEXT(Table1[[#This Row],[Date]],"dddd")</f>
        <v>Wednesday</v>
      </c>
      <c r="L866" t="str">
        <f>TEXT(Table1[[#This Row],[Date]],"mmm-yyyy")</f>
        <v>Sep-2023</v>
      </c>
      <c r="M866">
        <f>HOUR(Table1[[#This Row],[Time]])</f>
        <v>7</v>
      </c>
    </row>
    <row r="867" spans="1:13" x14ac:dyDescent="0.3">
      <c r="A867">
        <v>1866</v>
      </c>
      <c r="B867" s="3">
        <v>45189.602168472222</v>
      </c>
      <c r="C867" s="1">
        <v>45189.602168472222</v>
      </c>
      <c r="D867" t="s">
        <v>238</v>
      </c>
      <c r="E867" t="s">
        <v>14</v>
      </c>
      <c r="F867" t="s">
        <v>24</v>
      </c>
      <c r="G867" t="s">
        <v>33</v>
      </c>
      <c r="H867">
        <v>5</v>
      </c>
      <c r="I867">
        <v>319</v>
      </c>
      <c r="J867">
        <v>1595</v>
      </c>
      <c r="K867" t="str">
        <f>TEXT(Table1[[#This Row],[Date]],"dddd")</f>
        <v>Wednesday</v>
      </c>
      <c r="L867" t="str">
        <f>TEXT(Table1[[#This Row],[Date]],"mmm-yyyy")</f>
        <v>Sep-2023</v>
      </c>
      <c r="M867">
        <f>HOUR(Table1[[#This Row],[Time]])</f>
        <v>14</v>
      </c>
    </row>
    <row r="868" spans="1:13" x14ac:dyDescent="0.3">
      <c r="A868">
        <v>1867</v>
      </c>
      <c r="B868" s="3">
        <v>45189.905754791667</v>
      </c>
      <c r="C868" s="1">
        <v>45189.905754791667</v>
      </c>
      <c r="D868" t="s">
        <v>215</v>
      </c>
      <c r="E868" t="s">
        <v>14</v>
      </c>
      <c r="F868" t="s">
        <v>15</v>
      </c>
      <c r="G868" t="s">
        <v>56</v>
      </c>
      <c r="H868">
        <v>4</v>
      </c>
      <c r="I868">
        <v>803</v>
      </c>
      <c r="J868">
        <v>3212</v>
      </c>
      <c r="K868" t="str">
        <f>TEXT(Table1[[#This Row],[Date]],"dddd")</f>
        <v>Wednesday</v>
      </c>
      <c r="L868" t="str">
        <f>TEXT(Table1[[#This Row],[Date]],"mmm-yyyy")</f>
        <v>Sep-2023</v>
      </c>
      <c r="M868">
        <f>HOUR(Table1[[#This Row],[Time]])</f>
        <v>21</v>
      </c>
    </row>
    <row r="869" spans="1:13" x14ac:dyDescent="0.3">
      <c r="A869">
        <v>1868</v>
      </c>
      <c r="B869" s="3">
        <v>45190.209341122689</v>
      </c>
      <c r="C869" s="1">
        <v>45190.209341122689</v>
      </c>
      <c r="D869" t="s">
        <v>251</v>
      </c>
      <c r="E869" t="s">
        <v>28</v>
      </c>
      <c r="F869" t="s">
        <v>15</v>
      </c>
      <c r="G869" t="s">
        <v>25</v>
      </c>
      <c r="H869">
        <v>5</v>
      </c>
      <c r="I869">
        <v>674</v>
      </c>
      <c r="J869">
        <v>3370</v>
      </c>
      <c r="K869" t="str">
        <f>TEXT(Table1[[#This Row],[Date]],"dddd")</f>
        <v>Thursday</v>
      </c>
      <c r="L869" t="str">
        <f>TEXT(Table1[[#This Row],[Date]],"mmm-yyyy")</f>
        <v>Sep-2023</v>
      </c>
      <c r="M869">
        <f>HOUR(Table1[[#This Row],[Time]])</f>
        <v>5</v>
      </c>
    </row>
    <row r="870" spans="1:13" x14ac:dyDescent="0.3">
      <c r="A870">
        <v>1869</v>
      </c>
      <c r="B870" s="3">
        <v>45190.512927442127</v>
      </c>
      <c r="C870" s="1">
        <v>45190.512927442127</v>
      </c>
      <c r="D870" t="s">
        <v>227</v>
      </c>
      <c r="E870" t="s">
        <v>17</v>
      </c>
      <c r="F870" t="s">
        <v>11</v>
      </c>
      <c r="G870" t="s">
        <v>56</v>
      </c>
      <c r="H870">
        <v>2</v>
      </c>
      <c r="I870">
        <v>684</v>
      </c>
      <c r="J870">
        <v>1368</v>
      </c>
      <c r="K870" t="str">
        <f>TEXT(Table1[[#This Row],[Date]],"dddd")</f>
        <v>Thursday</v>
      </c>
      <c r="L870" t="str">
        <f>TEXT(Table1[[#This Row],[Date]],"mmm-yyyy")</f>
        <v>Sep-2023</v>
      </c>
      <c r="M870">
        <f>HOUR(Table1[[#This Row],[Time]])</f>
        <v>12</v>
      </c>
    </row>
    <row r="871" spans="1:13" x14ac:dyDescent="0.3">
      <c r="A871">
        <v>1870</v>
      </c>
      <c r="B871" s="3">
        <v>45190.816513761572</v>
      </c>
      <c r="C871" s="1">
        <v>45190.816513761572</v>
      </c>
      <c r="D871" t="s">
        <v>258</v>
      </c>
      <c r="E871" t="s">
        <v>10</v>
      </c>
      <c r="F871" t="s">
        <v>11</v>
      </c>
      <c r="G871" t="s">
        <v>29</v>
      </c>
      <c r="H871">
        <v>4</v>
      </c>
      <c r="I871">
        <v>260</v>
      </c>
      <c r="J871">
        <v>1040</v>
      </c>
      <c r="K871" t="str">
        <f>TEXT(Table1[[#This Row],[Date]],"dddd")</f>
        <v>Thursday</v>
      </c>
      <c r="L871" t="str">
        <f>TEXT(Table1[[#This Row],[Date]],"mmm-yyyy")</f>
        <v>Sep-2023</v>
      </c>
      <c r="M871">
        <f>HOUR(Table1[[#This Row],[Time]])</f>
        <v>19</v>
      </c>
    </row>
    <row r="872" spans="1:13" x14ac:dyDescent="0.3">
      <c r="A872">
        <v>1871</v>
      </c>
      <c r="B872" s="3">
        <v>45191.120100081018</v>
      </c>
      <c r="C872" s="1">
        <v>45191.120100081018</v>
      </c>
      <c r="D872" t="s">
        <v>219</v>
      </c>
      <c r="E872" t="s">
        <v>14</v>
      </c>
      <c r="F872" t="s">
        <v>24</v>
      </c>
      <c r="G872" t="s">
        <v>40</v>
      </c>
      <c r="H872">
        <v>3</v>
      </c>
      <c r="I872">
        <v>780</v>
      </c>
      <c r="J872">
        <v>2340</v>
      </c>
      <c r="K872" t="str">
        <f>TEXT(Table1[[#This Row],[Date]],"dddd")</f>
        <v>Friday</v>
      </c>
      <c r="L872" t="str">
        <f>TEXT(Table1[[#This Row],[Date]],"mmm-yyyy")</f>
        <v>Sep-2023</v>
      </c>
      <c r="M872">
        <f>HOUR(Table1[[#This Row],[Time]])</f>
        <v>2</v>
      </c>
    </row>
    <row r="873" spans="1:13" x14ac:dyDescent="0.3">
      <c r="A873">
        <v>1872</v>
      </c>
      <c r="B873" s="3">
        <v>45191.423686400463</v>
      </c>
      <c r="C873" s="1">
        <v>45191.423686400463</v>
      </c>
      <c r="D873" t="s">
        <v>136</v>
      </c>
      <c r="E873" t="s">
        <v>17</v>
      </c>
      <c r="F873" t="s">
        <v>15</v>
      </c>
      <c r="G873" t="s">
        <v>33</v>
      </c>
      <c r="H873">
        <v>4</v>
      </c>
      <c r="I873">
        <v>188</v>
      </c>
      <c r="J873">
        <v>752</v>
      </c>
      <c r="K873" t="str">
        <f>TEXT(Table1[[#This Row],[Date]],"dddd")</f>
        <v>Friday</v>
      </c>
      <c r="L873" t="str">
        <f>TEXT(Table1[[#This Row],[Date]],"mmm-yyyy")</f>
        <v>Sep-2023</v>
      </c>
      <c r="M873">
        <f>HOUR(Table1[[#This Row],[Time]])</f>
        <v>10</v>
      </c>
    </row>
    <row r="874" spans="1:13" x14ac:dyDescent="0.3">
      <c r="A874">
        <v>1873</v>
      </c>
      <c r="B874" s="3">
        <v>45191.727272731485</v>
      </c>
      <c r="C874" s="1">
        <v>45191.727272731485</v>
      </c>
      <c r="D874" t="s">
        <v>242</v>
      </c>
      <c r="E874" t="s">
        <v>10</v>
      </c>
      <c r="F874" t="s">
        <v>39</v>
      </c>
      <c r="G874" t="s">
        <v>12</v>
      </c>
      <c r="H874">
        <v>1</v>
      </c>
      <c r="I874">
        <v>787</v>
      </c>
      <c r="J874">
        <v>787</v>
      </c>
      <c r="K874" t="str">
        <f>TEXT(Table1[[#This Row],[Date]],"dddd")</f>
        <v>Friday</v>
      </c>
      <c r="L874" t="str">
        <f>TEXT(Table1[[#This Row],[Date]],"mmm-yyyy")</f>
        <v>Sep-2023</v>
      </c>
      <c r="M874">
        <f>HOUR(Table1[[#This Row],[Time]])</f>
        <v>17</v>
      </c>
    </row>
    <row r="875" spans="1:13" x14ac:dyDescent="0.3">
      <c r="A875">
        <v>1874</v>
      </c>
      <c r="B875" s="3">
        <v>45192.030859050923</v>
      </c>
      <c r="C875" s="1">
        <v>45192.030859050923</v>
      </c>
      <c r="D875" t="s">
        <v>178</v>
      </c>
      <c r="E875" t="s">
        <v>17</v>
      </c>
      <c r="F875" t="s">
        <v>39</v>
      </c>
      <c r="G875" t="s">
        <v>29</v>
      </c>
      <c r="H875">
        <v>4</v>
      </c>
      <c r="I875">
        <v>880</v>
      </c>
      <c r="J875">
        <v>3520</v>
      </c>
      <c r="K875" t="str">
        <f>TEXT(Table1[[#This Row],[Date]],"dddd")</f>
        <v>Saturday</v>
      </c>
      <c r="L875" t="str">
        <f>TEXT(Table1[[#This Row],[Date]],"mmm-yyyy")</f>
        <v>Sep-2023</v>
      </c>
      <c r="M875">
        <f>HOUR(Table1[[#This Row],[Time]])</f>
        <v>0</v>
      </c>
    </row>
    <row r="876" spans="1:13" x14ac:dyDescent="0.3">
      <c r="A876">
        <v>1875</v>
      </c>
      <c r="B876" s="3">
        <v>45192.334445370368</v>
      </c>
      <c r="C876" s="1">
        <v>45192.334445370368</v>
      </c>
      <c r="D876" t="s">
        <v>267</v>
      </c>
      <c r="E876" t="s">
        <v>10</v>
      </c>
      <c r="F876" t="s">
        <v>24</v>
      </c>
      <c r="G876" t="s">
        <v>56</v>
      </c>
      <c r="H876">
        <v>1</v>
      </c>
      <c r="I876">
        <v>684</v>
      </c>
      <c r="J876">
        <v>684</v>
      </c>
      <c r="K876" t="str">
        <f>TEXT(Table1[[#This Row],[Date]],"dddd")</f>
        <v>Saturday</v>
      </c>
      <c r="L876" t="str">
        <f>TEXT(Table1[[#This Row],[Date]],"mmm-yyyy")</f>
        <v>Sep-2023</v>
      </c>
      <c r="M876">
        <f>HOUR(Table1[[#This Row],[Time]])</f>
        <v>8</v>
      </c>
    </row>
    <row r="877" spans="1:13" x14ac:dyDescent="0.3">
      <c r="A877">
        <v>1876</v>
      </c>
      <c r="B877" s="3">
        <v>45192.638031689814</v>
      </c>
      <c r="C877" s="1">
        <v>45192.638031689814</v>
      </c>
      <c r="D877" t="s">
        <v>309</v>
      </c>
      <c r="E877" t="s">
        <v>17</v>
      </c>
      <c r="F877" t="s">
        <v>15</v>
      </c>
      <c r="G877" t="s">
        <v>56</v>
      </c>
      <c r="H877">
        <v>4</v>
      </c>
      <c r="I877">
        <v>856</v>
      </c>
      <c r="J877">
        <v>3424</v>
      </c>
      <c r="K877" t="str">
        <f>TEXT(Table1[[#This Row],[Date]],"dddd")</f>
        <v>Saturday</v>
      </c>
      <c r="L877" t="str">
        <f>TEXT(Table1[[#This Row],[Date]],"mmm-yyyy")</f>
        <v>Sep-2023</v>
      </c>
      <c r="M877">
        <f>HOUR(Table1[[#This Row],[Time]])</f>
        <v>15</v>
      </c>
    </row>
    <row r="878" spans="1:13" x14ac:dyDescent="0.3">
      <c r="A878">
        <v>1877</v>
      </c>
      <c r="B878" s="3">
        <v>45192.941618009259</v>
      </c>
      <c r="C878" s="1">
        <v>45192.941618009259</v>
      </c>
      <c r="D878" t="s">
        <v>95</v>
      </c>
      <c r="E878" t="s">
        <v>14</v>
      </c>
      <c r="F878" t="s">
        <v>39</v>
      </c>
      <c r="G878" t="s">
        <v>56</v>
      </c>
      <c r="H878">
        <v>1</v>
      </c>
      <c r="I878">
        <v>688</v>
      </c>
      <c r="J878">
        <v>688</v>
      </c>
      <c r="K878" t="str">
        <f>TEXT(Table1[[#This Row],[Date]],"dddd")</f>
        <v>Saturday</v>
      </c>
      <c r="L878" t="str">
        <f>TEXT(Table1[[#This Row],[Date]],"mmm-yyyy")</f>
        <v>Sep-2023</v>
      </c>
      <c r="M878">
        <f>HOUR(Table1[[#This Row],[Time]])</f>
        <v>22</v>
      </c>
    </row>
    <row r="879" spans="1:13" x14ac:dyDescent="0.3">
      <c r="A879">
        <v>1878</v>
      </c>
      <c r="B879" s="3">
        <v>45193.245204340281</v>
      </c>
      <c r="C879" s="1">
        <v>45193.245204340281</v>
      </c>
      <c r="D879" t="s">
        <v>153</v>
      </c>
      <c r="E879" t="s">
        <v>17</v>
      </c>
      <c r="F879" t="s">
        <v>15</v>
      </c>
      <c r="G879" t="s">
        <v>22</v>
      </c>
      <c r="H879">
        <v>2</v>
      </c>
      <c r="I879">
        <v>258</v>
      </c>
      <c r="J879">
        <v>516</v>
      </c>
      <c r="K879" t="str">
        <f>TEXT(Table1[[#This Row],[Date]],"dddd")</f>
        <v>Sunday</v>
      </c>
      <c r="L879" t="str">
        <f>TEXT(Table1[[#This Row],[Date]],"mmm-yyyy")</f>
        <v>Sep-2023</v>
      </c>
      <c r="M879">
        <f>HOUR(Table1[[#This Row],[Time]])</f>
        <v>5</v>
      </c>
    </row>
    <row r="880" spans="1:13" x14ac:dyDescent="0.3">
      <c r="A880">
        <v>1879</v>
      </c>
      <c r="B880" s="3">
        <v>45193.548790659719</v>
      </c>
      <c r="C880" s="1">
        <v>45193.548790659719</v>
      </c>
      <c r="D880" t="s">
        <v>231</v>
      </c>
      <c r="E880" t="s">
        <v>17</v>
      </c>
      <c r="F880" t="s">
        <v>11</v>
      </c>
      <c r="G880" t="s">
        <v>35</v>
      </c>
      <c r="H880">
        <v>5</v>
      </c>
      <c r="I880">
        <v>588</v>
      </c>
      <c r="J880">
        <v>2940</v>
      </c>
      <c r="K880" t="str">
        <f>TEXT(Table1[[#This Row],[Date]],"dddd")</f>
        <v>Sunday</v>
      </c>
      <c r="L880" t="str">
        <f>TEXT(Table1[[#This Row],[Date]],"mmm-yyyy")</f>
        <v>Sep-2023</v>
      </c>
      <c r="M880">
        <f>HOUR(Table1[[#This Row],[Time]])</f>
        <v>13</v>
      </c>
    </row>
    <row r="881" spans="1:13" x14ac:dyDescent="0.3">
      <c r="A881">
        <v>1880</v>
      </c>
      <c r="B881" s="3">
        <v>45193.852376979165</v>
      </c>
      <c r="C881" s="1">
        <v>45193.852376979165</v>
      </c>
      <c r="D881" t="s">
        <v>78</v>
      </c>
      <c r="E881" t="s">
        <v>10</v>
      </c>
      <c r="F881" t="s">
        <v>24</v>
      </c>
      <c r="G881" t="s">
        <v>40</v>
      </c>
      <c r="H881">
        <v>3</v>
      </c>
      <c r="I881">
        <v>423</v>
      </c>
      <c r="J881">
        <v>1269</v>
      </c>
      <c r="K881" t="str">
        <f>TEXT(Table1[[#This Row],[Date]],"dddd")</f>
        <v>Sunday</v>
      </c>
      <c r="L881" t="str">
        <f>TEXT(Table1[[#This Row],[Date]],"mmm-yyyy")</f>
        <v>Sep-2023</v>
      </c>
      <c r="M881">
        <f>HOUR(Table1[[#This Row],[Time]])</f>
        <v>20</v>
      </c>
    </row>
    <row r="882" spans="1:13" x14ac:dyDescent="0.3">
      <c r="A882">
        <v>1881</v>
      </c>
      <c r="B882" s="3">
        <v>45194.15596329861</v>
      </c>
      <c r="C882" s="1">
        <v>45194.15596329861</v>
      </c>
      <c r="D882" t="s">
        <v>312</v>
      </c>
      <c r="E882" t="s">
        <v>17</v>
      </c>
      <c r="F882" t="s">
        <v>24</v>
      </c>
      <c r="G882" t="s">
        <v>29</v>
      </c>
      <c r="H882">
        <v>4</v>
      </c>
      <c r="I882">
        <v>709</v>
      </c>
      <c r="J882">
        <v>2836</v>
      </c>
      <c r="K882" t="str">
        <f>TEXT(Table1[[#This Row],[Date]],"dddd")</f>
        <v>Monday</v>
      </c>
      <c r="L882" t="str">
        <f>TEXT(Table1[[#This Row],[Date]],"mmm-yyyy")</f>
        <v>Sep-2023</v>
      </c>
      <c r="M882">
        <f>HOUR(Table1[[#This Row],[Time]])</f>
        <v>3</v>
      </c>
    </row>
    <row r="883" spans="1:13" x14ac:dyDescent="0.3">
      <c r="A883">
        <v>1882</v>
      </c>
      <c r="B883" s="3">
        <v>45194.459549629632</v>
      </c>
      <c r="C883" s="1">
        <v>45194.459549629632</v>
      </c>
      <c r="D883" t="s">
        <v>94</v>
      </c>
      <c r="E883" t="s">
        <v>28</v>
      </c>
      <c r="F883" t="s">
        <v>15</v>
      </c>
      <c r="G883" t="s">
        <v>19</v>
      </c>
      <c r="H883">
        <v>5</v>
      </c>
      <c r="I883">
        <v>480</v>
      </c>
      <c r="J883">
        <v>2400</v>
      </c>
      <c r="K883" t="str">
        <f>TEXT(Table1[[#This Row],[Date]],"dddd")</f>
        <v>Monday</v>
      </c>
      <c r="L883" t="str">
        <f>TEXT(Table1[[#This Row],[Date]],"mmm-yyyy")</f>
        <v>Sep-2023</v>
      </c>
      <c r="M883">
        <f>HOUR(Table1[[#This Row],[Time]])</f>
        <v>11</v>
      </c>
    </row>
    <row r="884" spans="1:13" x14ac:dyDescent="0.3">
      <c r="A884">
        <v>1883</v>
      </c>
      <c r="B884" s="3">
        <v>45194.763135949077</v>
      </c>
      <c r="C884" s="1">
        <v>45194.763135949077</v>
      </c>
      <c r="D884" t="s">
        <v>287</v>
      </c>
      <c r="E884" t="s">
        <v>10</v>
      </c>
      <c r="F884" t="s">
        <v>15</v>
      </c>
      <c r="G884" t="s">
        <v>22</v>
      </c>
      <c r="H884">
        <v>3</v>
      </c>
      <c r="I884">
        <v>201</v>
      </c>
      <c r="J884">
        <v>603</v>
      </c>
      <c r="K884" t="str">
        <f>TEXT(Table1[[#This Row],[Date]],"dddd")</f>
        <v>Monday</v>
      </c>
      <c r="L884" t="str">
        <f>TEXT(Table1[[#This Row],[Date]],"mmm-yyyy")</f>
        <v>Sep-2023</v>
      </c>
      <c r="M884">
        <f>HOUR(Table1[[#This Row],[Time]])</f>
        <v>18</v>
      </c>
    </row>
    <row r="885" spans="1:13" x14ac:dyDescent="0.3">
      <c r="A885">
        <v>1884</v>
      </c>
      <c r="B885" s="3">
        <v>45195.066722268515</v>
      </c>
      <c r="C885" s="1">
        <v>45195.066722268515</v>
      </c>
      <c r="D885" t="s">
        <v>140</v>
      </c>
      <c r="E885" t="s">
        <v>17</v>
      </c>
      <c r="F885" t="s">
        <v>18</v>
      </c>
      <c r="G885" t="s">
        <v>40</v>
      </c>
      <c r="H885">
        <v>3</v>
      </c>
      <c r="I885">
        <v>593</v>
      </c>
      <c r="J885">
        <v>1779</v>
      </c>
      <c r="K885" t="str">
        <f>TEXT(Table1[[#This Row],[Date]],"dddd")</f>
        <v>Tuesday</v>
      </c>
      <c r="L885" t="str">
        <f>TEXT(Table1[[#This Row],[Date]],"mmm-yyyy")</f>
        <v>Sep-2023</v>
      </c>
      <c r="M885">
        <f>HOUR(Table1[[#This Row],[Time]])</f>
        <v>1</v>
      </c>
    </row>
    <row r="886" spans="1:13" x14ac:dyDescent="0.3">
      <c r="A886">
        <v>1885</v>
      </c>
      <c r="B886" s="3">
        <v>45195.370308587961</v>
      </c>
      <c r="C886" s="1">
        <v>45195.370308587961</v>
      </c>
      <c r="D886" t="s">
        <v>221</v>
      </c>
      <c r="E886" t="s">
        <v>28</v>
      </c>
      <c r="F886" t="s">
        <v>39</v>
      </c>
      <c r="G886" t="s">
        <v>25</v>
      </c>
      <c r="H886">
        <v>1</v>
      </c>
      <c r="I886">
        <v>743</v>
      </c>
      <c r="J886">
        <v>743</v>
      </c>
      <c r="K886" t="str">
        <f>TEXT(Table1[[#This Row],[Date]],"dddd")</f>
        <v>Tuesday</v>
      </c>
      <c r="L886" t="str">
        <f>TEXT(Table1[[#This Row],[Date]],"mmm-yyyy")</f>
        <v>Sep-2023</v>
      </c>
      <c r="M886">
        <f>HOUR(Table1[[#This Row],[Time]])</f>
        <v>8</v>
      </c>
    </row>
    <row r="887" spans="1:13" x14ac:dyDescent="0.3">
      <c r="A887">
        <v>1886</v>
      </c>
      <c r="B887" s="3">
        <v>45195.673894907406</v>
      </c>
      <c r="C887" s="1">
        <v>45195.673894907406</v>
      </c>
      <c r="D887" t="s">
        <v>182</v>
      </c>
      <c r="E887" t="s">
        <v>10</v>
      </c>
      <c r="F887" t="s">
        <v>11</v>
      </c>
      <c r="G887" t="s">
        <v>25</v>
      </c>
      <c r="H887">
        <v>2</v>
      </c>
      <c r="I887">
        <v>713</v>
      </c>
      <c r="J887">
        <v>1426</v>
      </c>
      <c r="K887" t="str">
        <f>TEXT(Table1[[#This Row],[Date]],"dddd")</f>
        <v>Tuesday</v>
      </c>
      <c r="L887" t="str">
        <f>TEXT(Table1[[#This Row],[Date]],"mmm-yyyy")</f>
        <v>Sep-2023</v>
      </c>
      <c r="M887">
        <f>HOUR(Table1[[#This Row],[Time]])</f>
        <v>16</v>
      </c>
    </row>
    <row r="888" spans="1:13" x14ac:dyDescent="0.3">
      <c r="A888">
        <v>1887</v>
      </c>
      <c r="B888" s="3">
        <v>45195.977481238428</v>
      </c>
      <c r="C888" s="1">
        <v>45195.977481238428</v>
      </c>
      <c r="D888" t="s">
        <v>167</v>
      </c>
      <c r="E888" t="s">
        <v>14</v>
      </c>
      <c r="F888" t="s">
        <v>39</v>
      </c>
      <c r="G888" t="s">
        <v>25</v>
      </c>
      <c r="H888">
        <v>2</v>
      </c>
      <c r="I888">
        <v>118</v>
      </c>
      <c r="J888">
        <v>236</v>
      </c>
      <c r="K888" t="str">
        <f>TEXT(Table1[[#This Row],[Date]],"dddd")</f>
        <v>Tuesday</v>
      </c>
      <c r="L888" t="str">
        <f>TEXT(Table1[[#This Row],[Date]],"mmm-yyyy")</f>
        <v>Sep-2023</v>
      </c>
      <c r="M888">
        <f>HOUR(Table1[[#This Row],[Time]])</f>
        <v>23</v>
      </c>
    </row>
    <row r="889" spans="1:13" x14ac:dyDescent="0.3">
      <c r="A889">
        <v>1888</v>
      </c>
      <c r="B889" s="3">
        <v>45196.281067557873</v>
      </c>
      <c r="C889" s="1">
        <v>45196.281067557873</v>
      </c>
      <c r="D889" t="s">
        <v>139</v>
      </c>
      <c r="E889" t="s">
        <v>10</v>
      </c>
      <c r="F889" t="s">
        <v>18</v>
      </c>
      <c r="G889" t="s">
        <v>29</v>
      </c>
      <c r="H889">
        <v>5</v>
      </c>
      <c r="I889">
        <v>553</v>
      </c>
      <c r="J889">
        <v>2765</v>
      </c>
      <c r="K889" t="str">
        <f>TEXT(Table1[[#This Row],[Date]],"dddd")</f>
        <v>Wednesday</v>
      </c>
      <c r="L889" t="str">
        <f>TEXT(Table1[[#This Row],[Date]],"mmm-yyyy")</f>
        <v>Sep-2023</v>
      </c>
      <c r="M889">
        <f>HOUR(Table1[[#This Row],[Time]])</f>
        <v>6</v>
      </c>
    </row>
    <row r="890" spans="1:13" x14ac:dyDescent="0.3">
      <c r="A890">
        <v>1889</v>
      </c>
      <c r="B890" s="3">
        <v>45196.584653877311</v>
      </c>
      <c r="C890" s="1">
        <v>45196.584653877311</v>
      </c>
      <c r="D890" t="s">
        <v>198</v>
      </c>
      <c r="E890" t="s">
        <v>10</v>
      </c>
      <c r="F890" t="s">
        <v>15</v>
      </c>
      <c r="G890" t="s">
        <v>35</v>
      </c>
      <c r="H890">
        <v>2</v>
      </c>
      <c r="I890">
        <v>581</v>
      </c>
      <c r="J890">
        <v>1162</v>
      </c>
      <c r="K890" t="str">
        <f>TEXT(Table1[[#This Row],[Date]],"dddd")</f>
        <v>Wednesday</v>
      </c>
      <c r="L890" t="str">
        <f>TEXT(Table1[[#This Row],[Date]],"mmm-yyyy")</f>
        <v>Sep-2023</v>
      </c>
      <c r="M890">
        <f>HOUR(Table1[[#This Row],[Time]])</f>
        <v>14</v>
      </c>
    </row>
    <row r="891" spans="1:13" x14ac:dyDescent="0.3">
      <c r="A891">
        <v>1890</v>
      </c>
      <c r="B891" s="3">
        <v>45196.888240196757</v>
      </c>
      <c r="C891" s="1">
        <v>45196.888240196757</v>
      </c>
      <c r="D891" t="s">
        <v>88</v>
      </c>
      <c r="E891" t="s">
        <v>17</v>
      </c>
      <c r="F891" t="s">
        <v>39</v>
      </c>
      <c r="G891" t="s">
        <v>56</v>
      </c>
      <c r="H891">
        <v>4</v>
      </c>
      <c r="I891">
        <v>693</v>
      </c>
      <c r="J891">
        <v>2772</v>
      </c>
      <c r="K891" t="str">
        <f>TEXT(Table1[[#This Row],[Date]],"dddd")</f>
        <v>Wednesday</v>
      </c>
      <c r="L891" t="str">
        <f>TEXT(Table1[[#This Row],[Date]],"mmm-yyyy")</f>
        <v>Sep-2023</v>
      </c>
      <c r="M891">
        <f>HOUR(Table1[[#This Row],[Time]])</f>
        <v>21</v>
      </c>
    </row>
    <row r="892" spans="1:13" x14ac:dyDescent="0.3">
      <c r="A892">
        <v>1891</v>
      </c>
      <c r="B892" s="3">
        <v>45197.191826527778</v>
      </c>
      <c r="C892" s="1">
        <v>45197.191826527778</v>
      </c>
      <c r="D892" t="s">
        <v>236</v>
      </c>
      <c r="E892" t="s">
        <v>28</v>
      </c>
      <c r="F892" t="s">
        <v>24</v>
      </c>
      <c r="G892" t="s">
        <v>19</v>
      </c>
      <c r="H892">
        <v>2</v>
      </c>
      <c r="I892">
        <v>496</v>
      </c>
      <c r="J892">
        <v>992</v>
      </c>
      <c r="K892" t="str">
        <f>TEXT(Table1[[#This Row],[Date]],"dddd")</f>
        <v>Thursday</v>
      </c>
      <c r="L892" t="str">
        <f>TEXT(Table1[[#This Row],[Date]],"mmm-yyyy")</f>
        <v>Sep-2023</v>
      </c>
      <c r="M892">
        <f>HOUR(Table1[[#This Row],[Time]])</f>
        <v>4</v>
      </c>
    </row>
    <row r="893" spans="1:13" x14ac:dyDescent="0.3">
      <c r="A893">
        <v>1892</v>
      </c>
      <c r="B893" s="3">
        <v>45197.495412847224</v>
      </c>
      <c r="C893" s="1">
        <v>45197.495412847224</v>
      </c>
      <c r="D893" t="s">
        <v>179</v>
      </c>
      <c r="E893" t="s">
        <v>10</v>
      </c>
      <c r="F893" t="s">
        <v>39</v>
      </c>
      <c r="G893" t="s">
        <v>42</v>
      </c>
      <c r="H893">
        <v>5</v>
      </c>
      <c r="I893">
        <v>378</v>
      </c>
      <c r="J893">
        <v>1890</v>
      </c>
      <c r="K893" t="str">
        <f>TEXT(Table1[[#This Row],[Date]],"dddd")</f>
        <v>Thursday</v>
      </c>
      <c r="L893" t="str">
        <f>TEXT(Table1[[#This Row],[Date]],"mmm-yyyy")</f>
        <v>Sep-2023</v>
      </c>
      <c r="M893">
        <f>HOUR(Table1[[#This Row],[Time]])</f>
        <v>11</v>
      </c>
    </row>
    <row r="894" spans="1:13" x14ac:dyDescent="0.3">
      <c r="A894">
        <v>1893</v>
      </c>
      <c r="B894" s="3">
        <v>45197.798999166669</v>
      </c>
      <c r="C894" s="1">
        <v>45197.798999166669</v>
      </c>
      <c r="D894" t="s">
        <v>313</v>
      </c>
      <c r="E894" t="s">
        <v>10</v>
      </c>
      <c r="F894" t="s">
        <v>15</v>
      </c>
      <c r="G894" t="s">
        <v>29</v>
      </c>
      <c r="H894">
        <v>2</v>
      </c>
      <c r="I894">
        <v>950</v>
      </c>
      <c r="J894">
        <v>1900</v>
      </c>
      <c r="K894" t="str">
        <f>TEXT(Table1[[#This Row],[Date]],"dddd")</f>
        <v>Thursday</v>
      </c>
      <c r="L894" t="str">
        <f>TEXT(Table1[[#This Row],[Date]],"mmm-yyyy")</f>
        <v>Sep-2023</v>
      </c>
      <c r="M894">
        <f>HOUR(Table1[[#This Row],[Time]])</f>
        <v>19</v>
      </c>
    </row>
    <row r="895" spans="1:13" x14ac:dyDescent="0.3">
      <c r="A895">
        <v>1894</v>
      </c>
      <c r="B895" s="3">
        <v>45198.102585486115</v>
      </c>
      <c r="C895" s="1">
        <v>45198.102585486115</v>
      </c>
      <c r="D895" t="s">
        <v>270</v>
      </c>
      <c r="E895" t="s">
        <v>10</v>
      </c>
      <c r="F895" t="s">
        <v>39</v>
      </c>
      <c r="G895" t="s">
        <v>42</v>
      </c>
      <c r="H895">
        <v>4</v>
      </c>
      <c r="I895">
        <v>464</v>
      </c>
      <c r="J895">
        <v>1856</v>
      </c>
      <c r="K895" t="str">
        <f>TEXT(Table1[[#This Row],[Date]],"dddd")</f>
        <v>Friday</v>
      </c>
      <c r="L895" t="str">
        <f>TEXT(Table1[[#This Row],[Date]],"mmm-yyyy")</f>
        <v>Sep-2023</v>
      </c>
      <c r="M895">
        <f>HOUR(Table1[[#This Row],[Time]])</f>
        <v>2</v>
      </c>
    </row>
    <row r="896" spans="1:13" x14ac:dyDescent="0.3">
      <c r="A896">
        <v>1895</v>
      </c>
      <c r="B896" s="3">
        <v>45198.406171805553</v>
      </c>
      <c r="C896" s="1">
        <v>45198.406171805553</v>
      </c>
      <c r="D896" t="s">
        <v>70</v>
      </c>
      <c r="E896" t="s">
        <v>17</v>
      </c>
      <c r="F896" t="s">
        <v>18</v>
      </c>
      <c r="G896" t="s">
        <v>56</v>
      </c>
      <c r="H896">
        <v>1</v>
      </c>
      <c r="I896">
        <v>430</v>
      </c>
      <c r="J896">
        <v>430</v>
      </c>
      <c r="K896" t="str">
        <f>TEXT(Table1[[#This Row],[Date]],"dddd")</f>
        <v>Friday</v>
      </c>
      <c r="L896" t="str">
        <f>TEXT(Table1[[#This Row],[Date]],"mmm-yyyy")</f>
        <v>Sep-2023</v>
      </c>
      <c r="M896">
        <f>HOUR(Table1[[#This Row],[Time]])</f>
        <v>9</v>
      </c>
    </row>
    <row r="897" spans="1:13" x14ac:dyDescent="0.3">
      <c r="A897">
        <v>1896</v>
      </c>
      <c r="B897" s="3">
        <v>45198.709758136574</v>
      </c>
      <c r="C897" s="1">
        <v>45198.709758136574</v>
      </c>
      <c r="D897" t="s">
        <v>100</v>
      </c>
      <c r="E897" t="s">
        <v>10</v>
      </c>
      <c r="F897" t="s">
        <v>11</v>
      </c>
      <c r="G897" t="s">
        <v>35</v>
      </c>
      <c r="H897">
        <v>5</v>
      </c>
      <c r="I897">
        <v>740</v>
      </c>
      <c r="J897">
        <v>3700</v>
      </c>
      <c r="K897" t="str">
        <f>TEXT(Table1[[#This Row],[Date]],"dddd")</f>
        <v>Friday</v>
      </c>
      <c r="L897" t="str">
        <f>TEXT(Table1[[#This Row],[Date]],"mmm-yyyy")</f>
        <v>Sep-2023</v>
      </c>
      <c r="M897">
        <f>HOUR(Table1[[#This Row],[Time]])</f>
        <v>17</v>
      </c>
    </row>
    <row r="898" spans="1:13" x14ac:dyDescent="0.3">
      <c r="A898">
        <v>1897</v>
      </c>
      <c r="B898" s="3">
        <v>45199.01334445602</v>
      </c>
      <c r="C898" s="1">
        <v>45199.01334445602</v>
      </c>
      <c r="D898" t="s">
        <v>187</v>
      </c>
      <c r="E898" t="s">
        <v>28</v>
      </c>
      <c r="F898" t="s">
        <v>15</v>
      </c>
      <c r="G898" t="s">
        <v>35</v>
      </c>
      <c r="H898">
        <v>1</v>
      </c>
      <c r="I898">
        <v>443</v>
      </c>
      <c r="J898">
        <v>443</v>
      </c>
      <c r="K898" t="str">
        <f>TEXT(Table1[[#This Row],[Date]],"dddd")</f>
        <v>Saturday</v>
      </c>
      <c r="L898" t="str">
        <f>TEXT(Table1[[#This Row],[Date]],"mmm-yyyy")</f>
        <v>Sep-2023</v>
      </c>
      <c r="M898">
        <f>HOUR(Table1[[#This Row],[Time]])</f>
        <v>0</v>
      </c>
    </row>
    <row r="899" spans="1:13" x14ac:dyDescent="0.3">
      <c r="A899">
        <v>1898</v>
      </c>
      <c r="B899" s="3">
        <v>45199.316930775465</v>
      </c>
      <c r="C899" s="1">
        <v>45199.316930775465</v>
      </c>
      <c r="D899" t="s">
        <v>225</v>
      </c>
      <c r="E899" t="s">
        <v>17</v>
      </c>
      <c r="F899" t="s">
        <v>24</v>
      </c>
      <c r="G899" t="s">
        <v>56</v>
      </c>
      <c r="H899">
        <v>1</v>
      </c>
      <c r="I899">
        <v>921</v>
      </c>
      <c r="J899">
        <v>921</v>
      </c>
      <c r="K899" t="str">
        <f>TEXT(Table1[[#This Row],[Date]],"dddd")</f>
        <v>Saturday</v>
      </c>
      <c r="L899" t="str">
        <f>TEXT(Table1[[#This Row],[Date]],"mmm-yyyy")</f>
        <v>Sep-2023</v>
      </c>
      <c r="M899">
        <f>HOUR(Table1[[#This Row],[Time]])</f>
        <v>7</v>
      </c>
    </row>
    <row r="900" spans="1:13" x14ac:dyDescent="0.3">
      <c r="A900">
        <v>1899</v>
      </c>
      <c r="B900" s="3">
        <v>45199.620517094911</v>
      </c>
      <c r="C900" s="1">
        <v>45199.620517094911</v>
      </c>
      <c r="D900" t="s">
        <v>210</v>
      </c>
      <c r="E900" t="s">
        <v>14</v>
      </c>
      <c r="F900" t="s">
        <v>18</v>
      </c>
      <c r="G900" t="s">
        <v>56</v>
      </c>
      <c r="H900">
        <v>1</v>
      </c>
      <c r="I900">
        <v>554</v>
      </c>
      <c r="J900">
        <v>554</v>
      </c>
      <c r="K900" t="str">
        <f>TEXT(Table1[[#This Row],[Date]],"dddd")</f>
        <v>Saturday</v>
      </c>
      <c r="L900" t="str">
        <f>TEXT(Table1[[#This Row],[Date]],"mmm-yyyy")</f>
        <v>Sep-2023</v>
      </c>
      <c r="M900">
        <f>HOUR(Table1[[#This Row],[Time]])</f>
        <v>14</v>
      </c>
    </row>
    <row r="901" spans="1:13" x14ac:dyDescent="0.3">
      <c r="A901">
        <v>1900</v>
      </c>
      <c r="B901" s="3">
        <v>45199.924103414349</v>
      </c>
      <c r="C901" s="1">
        <v>45199.924103414349</v>
      </c>
      <c r="D901" t="s">
        <v>84</v>
      </c>
      <c r="E901" t="s">
        <v>14</v>
      </c>
      <c r="F901" t="s">
        <v>15</v>
      </c>
      <c r="G901" t="s">
        <v>33</v>
      </c>
      <c r="H901">
        <v>3</v>
      </c>
      <c r="I901">
        <v>700</v>
      </c>
      <c r="J901">
        <v>2100</v>
      </c>
      <c r="K901" t="str">
        <f>TEXT(Table1[[#This Row],[Date]],"dddd")</f>
        <v>Saturday</v>
      </c>
      <c r="L901" t="str">
        <f>TEXT(Table1[[#This Row],[Date]],"mmm-yyyy")</f>
        <v>Sep-2023</v>
      </c>
      <c r="M901">
        <f>HOUR(Table1[[#This Row],[Time]])</f>
        <v>22</v>
      </c>
    </row>
    <row r="902" spans="1:13" x14ac:dyDescent="0.3">
      <c r="A902">
        <v>1901</v>
      </c>
      <c r="B902" s="3">
        <v>45200.22768974537</v>
      </c>
      <c r="C902" s="1">
        <v>45200.22768974537</v>
      </c>
      <c r="D902" t="s">
        <v>153</v>
      </c>
      <c r="E902" t="s">
        <v>17</v>
      </c>
      <c r="F902" t="s">
        <v>24</v>
      </c>
      <c r="G902" t="s">
        <v>42</v>
      </c>
      <c r="H902">
        <v>3</v>
      </c>
      <c r="I902">
        <v>824</v>
      </c>
      <c r="J902">
        <v>2472</v>
      </c>
      <c r="K902" t="str">
        <f>TEXT(Table1[[#This Row],[Date]],"dddd")</f>
        <v>Sunday</v>
      </c>
      <c r="L902" t="str">
        <f>TEXT(Table1[[#This Row],[Date]],"mmm-yyyy")</f>
        <v>Oct-2023</v>
      </c>
      <c r="M902">
        <f>HOUR(Table1[[#This Row],[Time]])</f>
        <v>5</v>
      </c>
    </row>
    <row r="903" spans="1:13" x14ac:dyDescent="0.3">
      <c r="A903">
        <v>1902</v>
      </c>
      <c r="B903" s="3">
        <v>45200.531276064816</v>
      </c>
      <c r="C903" s="1">
        <v>45200.531276064816</v>
      </c>
      <c r="D903" t="s">
        <v>170</v>
      </c>
      <c r="E903" t="s">
        <v>28</v>
      </c>
      <c r="F903" t="s">
        <v>24</v>
      </c>
      <c r="G903" t="s">
        <v>35</v>
      </c>
      <c r="H903">
        <v>1</v>
      </c>
      <c r="I903">
        <v>754</v>
      </c>
      <c r="J903">
        <v>754</v>
      </c>
      <c r="K903" t="str">
        <f>TEXT(Table1[[#This Row],[Date]],"dddd")</f>
        <v>Sunday</v>
      </c>
      <c r="L903" t="str">
        <f>TEXT(Table1[[#This Row],[Date]],"mmm-yyyy")</f>
        <v>Oct-2023</v>
      </c>
      <c r="M903">
        <f>HOUR(Table1[[#This Row],[Time]])</f>
        <v>12</v>
      </c>
    </row>
    <row r="904" spans="1:13" x14ac:dyDescent="0.3">
      <c r="A904">
        <v>1903</v>
      </c>
      <c r="B904" s="3">
        <v>45200.834862384261</v>
      </c>
      <c r="C904" s="1">
        <v>45200.834862384261</v>
      </c>
      <c r="D904" t="s">
        <v>309</v>
      </c>
      <c r="E904" t="s">
        <v>17</v>
      </c>
      <c r="F904" t="s">
        <v>15</v>
      </c>
      <c r="G904" t="s">
        <v>56</v>
      </c>
      <c r="H904">
        <v>5</v>
      </c>
      <c r="I904">
        <v>164</v>
      </c>
      <c r="J904">
        <v>820</v>
      </c>
      <c r="K904" t="str">
        <f>TEXT(Table1[[#This Row],[Date]],"dddd")</f>
        <v>Sunday</v>
      </c>
      <c r="L904" t="str">
        <f>TEXT(Table1[[#This Row],[Date]],"mmm-yyyy")</f>
        <v>Oct-2023</v>
      </c>
      <c r="M904">
        <f>HOUR(Table1[[#This Row],[Time]])</f>
        <v>20</v>
      </c>
    </row>
    <row r="905" spans="1:13" x14ac:dyDescent="0.3">
      <c r="A905">
        <v>1904</v>
      </c>
      <c r="B905" s="3">
        <v>45201.138448703707</v>
      </c>
      <c r="C905" s="1">
        <v>45201.138448703707</v>
      </c>
      <c r="D905" t="s">
        <v>157</v>
      </c>
      <c r="E905" t="s">
        <v>17</v>
      </c>
      <c r="F905" t="s">
        <v>18</v>
      </c>
      <c r="G905" t="s">
        <v>42</v>
      </c>
      <c r="H905">
        <v>4</v>
      </c>
      <c r="I905">
        <v>175</v>
      </c>
      <c r="J905">
        <v>700</v>
      </c>
      <c r="K905" t="str">
        <f>TEXT(Table1[[#This Row],[Date]],"dddd")</f>
        <v>Monday</v>
      </c>
      <c r="L905" t="str">
        <f>TEXT(Table1[[#This Row],[Date]],"mmm-yyyy")</f>
        <v>Oct-2023</v>
      </c>
      <c r="M905">
        <f>HOUR(Table1[[#This Row],[Time]])</f>
        <v>3</v>
      </c>
    </row>
    <row r="906" spans="1:13" x14ac:dyDescent="0.3">
      <c r="A906">
        <v>1905</v>
      </c>
      <c r="B906" s="3">
        <v>45201.442035034721</v>
      </c>
      <c r="C906" s="1">
        <v>45201.442035034721</v>
      </c>
      <c r="D906" t="s">
        <v>148</v>
      </c>
      <c r="E906" t="s">
        <v>17</v>
      </c>
      <c r="F906" t="s">
        <v>24</v>
      </c>
      <c r="G906" t="s">
        <v>56</v>
      </c>
      <c r="H906">
        <v>4</v>
      </c>
      <c r="I906">
        <v>810</v>
      </c>
      <c r="J906">
        <v>3240</v>
      </c>
      <c r="K906" t="str">
        <f>TEXT(Table1[[#This Row],[Date]],"dddd")</f>
        <v>Monday</v>
      </c>
      <c r="L906" t="str">
        <f>TEXT(Table1[[#This Row],[Date]],"mmm-yyyy")</f>
        <v>Oct-2023</v>
      </c>
      <c r="M906">
        <f>HOUR(Table1[[#This Row],[Time]])</f>
        <v>10</v>
      </c>
    </row>
    <row r="907" spans="1:13" x14ac:dyDescent="0.3">
      <c r="A907">
        <v>1906</v>
      </c>
      <c r="B907" s="3">
        <v>45201.745621354166</v>
      </c>
      <c r="C907" s="1">
        <v>45201.745621354166</v>
      </c>
      <c r="D907" t="s">
        <v>272</v>
      </c>
      <c r="E907" t="s">
        <v>17</v>
      </c>
      <c r="F907" t="s">
        <v>11</v>
      </c>
      <c r="G907" t="s">
        <v>12</v>
      </c>
      <c r="H907">
        <v>2</v>
      </c>
      <c r="I907">
        <v>242</v>
      </c>
      <c r="J907">
        <v>484</v>
      </c>
      <c r="K907" t="str">
        <f>TEXT(Table1[[#This Row],[Date]],"dddd")</f>
        <v>Monday</v>
      </c>
      <c r="L907" t="str">
        <f>TEXT(Table1[[#This Row],[Date]],"mmm-yyyy")</f>
        <v>Oct-2023</v>
      </c>
      <c r="M907">
        <f>HOUR(Table1[[#This Row],[Time]])</f>
        <v>17</v>
      </c>
    </row>
    <row r="908" spans="1:13" x14ac:dyDescent="0.3">
      <c r="A908">
        <v>1907</v>
      </c>
      <c r="B908" s="3">
        <v>45202.049207673612</v>
      </c>
      <c r="C908" s="1">
        <v>45202.049207673612</v>
      </c>
      <c r="D908" t="s">
        <v>243</v>
      </c>
      <c r="E908" t="s">
        <v>10</v>
      </c>
      <c r="F908" t="s">
        <v>18</v>
      </c>
      <c r="G908" t="s">
        <v>56</v>
      </c>
      <c r="H908">
        <v>5</v>
      </c>
      <c r="I908">
        <v>927</v>
      </c>
      <c r="J908">
        <v>4635</v>
      </c>
      <c r="K908" t="str">
        <f>TEXT(Table1[[#This Row],[Date]],"dddd")</f>
        <v>Tuesday</v>
      </c>
      <c r="L908" t="str">
        <f>TEXT(Table1[[#This Row],[Date]],"mmm-yyyy")</f>
        <v>Oct-2023</v>
      </c>
      <c r="M908">
        <f>HOUR(Table1[[#This Row],[Time]])</f>
        <v>1</v>
      </c>
    </row>
    <row r="909" spans="1:13" x14ac:dyDescent="0.3">
      <c r="A909">
        <v>1908</v>
      </c>
      <c r="B909" s="3">
        <v>45202.352793993057</v>
      </c>
      <c r="C909" s="1">
        <v>45202.352793993057</v>
      </c>
      <c r="D909" t="s">
        <v>144</v>
      </c>
      <c r="E909" t="s">
        <v>14</v>
      </c>
      <c r="F909" t="s">
        <v>24</v>
      </c>
      <c r="G909" t="s">
        <v>33</v>
      </c>
      <c r="H909">
        <v>3</v>
      </c>
      <c r="I909">
        <v>704</v>
      </c>
      <c r="J909">
        <v>2112</v>
      </c>
      <c r="K909" t="str">
        <f>TEXT(Table1[[#This Row],[Date]],"dddd")</f>
        <v>Tuesday</v>
      </c>
      <c r="L909" t="str">
        <f>TEXT(Table1[[#This Row],[Date]],"mmm-yyyy")</f>
        <v>Oct-2023</v>
      </c>
      <c r="M909">
        <f>HOUR(Table1[[#This Row],[Time]])</f>
        <v>8</v>
      </c>
    </row>
    <row r="910" spans="1:13" x14ac:dyDescent="0.3">
      <c r="A910">
        <v>1909</v>
      </c>
      <c r="B910" s="3">
        <v>45202.656380312503</v>
      </c>
      <c r="C910" s="1">
        <v>45202.656380312503</v>
      </c>
      <c r="D910" t="s">
        <v>51</v>
      </c>
      <c r="E910" t="s">
        <v>28</v>
      </c>
      <c r="F910" t="s">
        <v>15</v>
      </c>
      <c r="G910" t="s">
        <v>19</v>
      </c>
      <c r="H910">
        <v>1</v>
      </c>
      <c r="I910">
        <v>572</v>
      </c>
      <c r="J910">
        <v>572</v>
      </c>
      <c r="K910" t="str">
        <f>TEXT(Table1[[#This Row],[Date]],"dddd")</f>
        <v>Tuesday</v>
      </c>
      <c r="L910" t="str">
        <f>TEXT(Table1[[#This Row],[Date]],"mmm-yyyy")</f>
        <v>Oct-2023</v>
      </c>
      <c r="M910">
        <f>HOUR(Table1[[#This Row],[Time]])</f>
        <v>15</v>
      </c>
    </row>
    <row r="911" spans="1:13" x14ac:dyDescent="0.3">
      <c r="A911">
        <v>1910</v>
      </c>
      <c r="B911" s="3">
        <v>45202.959966643517</v>
      </c>
      <c r="C911" s="1">
        <v>45202.959966643517</v>
      </c>
      <c r="D911" t="s">
        <v>156</v>
      </c>
      <c r="E911" t="s">
        <v>10</v>
      </c>
      <c r="F911" t="s">
        <v>15</v>
      </c>
      <c r="G911" t="s">
        <v>35</v>
      </c>
      <c r="H911">
        <v>2</v>
      </c>
      <c r="I911">
        <v>516</v>
      </c>
      <c r="J911">
        <v>1032</v>
      </c>
      <c r="K911" t="str">
        <f>TEXT(Table1[[#This Row],[Date]],"dddd")</f>
        <v>Tuesday</v>
      </c>
      <c r="L911" t="str">
        <f>TEXT(Table1[[#This Row],[Date]],"mmm-yyyy")</f>
        <v>Oct-2023</v>
      </c>
      <c r="M911">
        <f>HOUR(Table1[[#This Row],[Time]])</f>
        <v>23</v>
      </c>
    </row>
    <row r="912" spans="1:13" x14ac:dyDescent="0.3">
      <c r="A912">
        <v>1911</v>
      </c>
      <c r="B912" s="3">
        <v>45203.263552962962</v>
      </c>
      <c r="C912" s="1">
        <v>45203.263552962962</v>
      </c>
      <c r="D912" t="s">
        <v>68</v>
      </c>
      <c r="E912" t="s">
        <v>14</v>
      </c>
      <c r="F912" t="s">
        <v>18</v>
      </c>
      <c r="G912" t="s">
        <v>35</v>
      </c>
      <c r="H912">
        <v>4</v>
      </c>
      <c r="I912">
        <v>404</v>
      </c>
      <c r="J912">
        <v>1616</v>
      </c>
      <c r="K912" t="str">
        <f>TEXT(Table1[[#This Row],[Date]],"dddd")</f>
        <v>Wednesday</v>
      </c>
      <c r="L912" t="str">
        <f>TEXT(Table1[[#This Row],[Date]],"mmm-yyyy")</f>
        <v>Oct-2023</v>
      </c>
      <c r="M912">
        <f>HOUR(Table1[[#This Row],[Time]])</f>
        <v>6</v>
      </c>
    </row>
    <row r="913" spans="1:13" x14ac:dyDescent="0.3">
      <c r="A913">
        <v>1912</v>
      </c>
      <c r="B913" s="3">
        <v>45203.567139282408</v>
      </c>
      <c r="C913" s="1">
        <v>45203.567139282408</v>
      </c>
      <c r="D913" t="s">
        <v>189</v>
      </c>
      <c r="E913" t="s">
        <v>17</v>
      </c>
      <c r="F913" t="s">
        <v>24</v>
      </c>
      <c r="G913" t="s">
        <v>42</v>
      </c>
      <c r="H913">
        <v>3</v>
      </c>
      <c r="I913">
        <v>835</v>
      </c>
      <c r="J913">
        <v>2505</v>
      </c>
      <c r="K913" t="str">
        <f>TEXT(Table1[[#This Row],[Date]],"dddd")</f>
        <v>Wednesday</v>
      </c>
      <c r="L913" t="str">
        <f>TEXT(Table1[[#This Row],[Date]],"mmm-yyyy")</f>
        <v>Oct-2023</v>
      </c>
      <c r="M913">
        <f>HOUR(Table1[[#This Row],[Time]])</f>
        <v>13</v>
      </c>
    </row>
    <row r="914" spans="1:13" x14ac:dyDescent="0.3">
      <c r="A914">
        <v>1913</v>
      </c>
      <c r="B914" s="3">
        <v>45203.870725601853</v>
      </c>
      <c r="C914" s="1">
        <v>45203.870725601853</v>
      </c>
      <c r="D914" t="s">
        <v>68</v>
      </c>
      <c r="E914" t="s">
        <v>14</v>
      </c>
      <c r="F914" t="s">
        <v>24</v>
      </c>
      <c r="G914" t="s">
        <v>12</v>
      </c>
      <c r="H914">
        <v>3</v>
      </c>
      <c r="I914">
        <v>596</v>
      </c>
      <c r="J914">
        <v>1788</v>
      </c>
      <c r="K914" t="str">
        <f>TEXT(Table1[[#This Row],[Date]],"dddd")</f>
        <v>Wednesday</v>
      </c>
      <c r="L914" t="str">
        <f>TEXT(Table1[[#This Row],[Date]],"mmm-yyyy")</f>
        <v>Oct-2023</v>
      </c>
      <c r="M914">
        <f>HOUR(Table1[[#This Row],[Time]])</f>
        <v>20</v>
      </c>
    </row>
    <row r="915" spans="1:13" x14ac:dyDescent="0.3">
      <c r="A915">
        <v>1914</v>
      </c>
      <c r="B915" s="3">
        <v>45204.174311921299</v>
      </c>
      <c r="C915" s="1">
        <v>45204.174311921299</v>
      </c>
      <c r="D915" t="s">
        <v>174</v>
      </c>
      <c r="E915" t="s">
        <v>14</v>
      </c>
      <c r="F915" t="s">
        <v>18</v>
      </c>
      <c r="G915" t="s">
        <v>40</v>
      </c>
      <c r="H915">
        <v>1</v>
      </c>
      <c r="I915">
        <v>390</v>
      </c>
      <c r="J915">
        <v>390</v>
      </c>
      <c r="K915" t="str">
        <f>TEXT(Table1[[#This Row],[Date]],"dddd")</f>
        <v>Thursday</v>
      </c>
      <c r="L915" t="str">
        <f>TEXT(Table1[[#This Row],[Date]],"mmm-yyyy")</f>
        <v>Oct-2023</v>
      </c>
      <c r="M915">
        <f>HOUR(Table1[[#This Row],[Time]])</f>
        <v>4</v>
      </c>
    </row>
    <row r="916" spans="1:13" x14ac:dyDescent="0.3">
      <c r="A916">
        <v>1915</v>
      </c>
      <c r="B916" s="3">
        <v>45204.477898252313</v>
      </c>
      <c r="C916" s="1">
        <v>45204.477898252313</v>
      </c>
      <c r="D916" t="s">
        <v>36</v>
      </c>
      <c r="E916" t="s">
        <v>10</v>
      </c>
      <c r="F916" t="s">
        <v>18</v>
      </c>
      <c r="G916" t="s">
        <v>29</v>
      </c>
      <c r="H916">
        <v>4</v>
      </c>
      <c r="I916">
        <v>201</v>
      </c>
      <c r="J916">
        <v>804</v>
      </c>
      <c r="K916" t="str">
        <f>TEXT(Table1[[#This Row],[Date]],"dddd")</f>
        <v>Thursday</v>
      </c>
      <c r="L916" t="str">
        <f>TEXT(Table1[[#This Row],[Date]],"mmm-yyyy")</f>
        <v>Oct-2023</v>
      </c>
      <c r="M916">
        <f>HOUR(Table1[[#This Row],[Time]])</f>
        <v>11</v>
      </c>
    </row>
    <row r="917" spans="1:13" x14ac:dyDescent="0.3">
      <c r="A917">
        <v>1916</v>
      </c>
      <c r="B917" s="3">
        <v>45204.781484571758</v>
      </c>
      <c r="C917" s="1">
        <v>45204.781484571758</v>
      </c>
      <c r="D917" t="s">
        <v>161</v>
      </c>
      <c r="E917" t="s">
        <v>10</v>
      </c>
      <c r="F917" t="s">
        <v>18</v>
      </c>
      <c r="G917" t="s">
        <v>25</v>
      </c>
      <c r="H917">
        <v>5</v>
      </c>
      <c r="I917">
        <v>366</v>
      </c>
      <c r="J917">
        <v>1830</v>
      </c>
      <c r="K917" t="str">
        <f>TEXT(Table1[[#This Row],[Date]],"dddd")</f>
        <v>Thursday</v>
      </c>
      <c r="L917" t="str">
        <f>TEXT(Table1[[#This Row],[Date]],"mmm-yyyy")</f>
        <v>Oct-2023</v>
      </c>
      <c r="M917">
        <f>HOUR(Table1[[#This Row],[Time]])</f>
        <v>18</v>
      </c>
    </row>
    <row r="918" spans="1:13" x14ac:dyDescent="0.3">
      <c r="A918">
        <v>1917</v>
      </c>
      <c r="B918" s="3">
        <v>45205.085070891204</v>
      </c>
      <c r="C918" s="1">
        <v>45205.085070891204</v>
      </c>
      <c r="D918" t="s">
        <v>126</v>
      </c>
      <c r="E918" t="s">
        <v>28</v>
      </c>
      <c r="F918" t="s">
        <v>11</v>
      </c>
      <c r="G918" t="s">
        <v>35</v>
      </c>
      <c r="H918">
        <v>3</v>
      </c>
      <c r="I918">
        <v>966</v>
      </c>
      <c r="J918">
        <v>2898</v>
      </c>
      <c r="K918" t="str">
        <f>TEXT(Table1[[#This Row],[Date]],"dddd")</f>
        <v>Friday</v>
      </c>
      <c r="L918" t="str">
        <f>TEXT(Table1[[#This Row],[Date]],"mmm-yyyy")</f>
        <v>Oct-2023</v>
      </c>
      <c r="M918">
        <f>HOUR(Table1[[#This Row],[Time]])</f>
        <v>2</v>
      </c>
    </row>
    <row r="919" spans="1:13" x14ac:dyDescent="0.3">
      <c r="A919">
        <v>1918</v>
      </c>
      <c r="B919" s="3">
        <v>45205.388657210649</v>
      </c>
      <c r="C919" s="1">
        <v>45205.388657210649</v>
      </c>
      <c r="D919" t="s">
        <v>88</v>
      </c>
      <c r="E919" t="s">
        <v>17</v>
      </c>
      <c r="F919" t="s">
        <v>11</v>
      </c>
      <c r="G919" t="s">
        <v>25</v>
      </c>
      <c r="H919">
        <v>1</v>
      </c>
      <c r="I919">
        <v>721</v>
      </c>
      <c r="J919">
        <v>721</v>
      </c>
      <c r="K919" t="str">
        <f>TEXT(Table1[[#This Row],[Date]],"dddd")</f>
        <v>Friday</v>
      </c>
      <c r="L919" t="str">
        <f>TEXT(Table1[[#This Row],[Date]],"mmm-yyyy")</f>
        <v>Oct-2023</v>
      </c>
      <c r="M919">
        <f>HOUR(Table1[[#This Row],[Time]])</f>
        <v>9</v>
      </c>
    </row>
    <row r="920" spans="1:13" x14ac:dyDescent="0.3">
      <c r="A920">
        <v>1919</v>
      </c>
      <c r="B920" s="3">
        <v>45205.692243541664</v>
      </c>
      <c r="C920" s="1">
        <v>45205.692243541664</v>
      </c>
      <c r="D920" t="s">
        <v>305</v>
      </c>
      <c r="E920" t="s">
        <v>17</v>
      </c>
      <c r="F920" t="s">
        <v>11</v>
      </c>
      <c r="G920" t="s">
        <v>25</v>
      </c>
      <c r="H920">
        <v>5</v>
      </c>
      <c r="I920">
        <v>941</v>
      </c>
      <c r="J920">
        <v>4705</v>
      </c>
      <c r="K920" t="str">
        <f>TEXT(Table1[[#This Row],[Date]],"dddd")</f>
        <v>Friday</v>
      </c>
      <c r="L920" t="str">
        <f>TEXT(Table1[[#This Row],[Date]],"mmm-yyyy")</f>
        <v>Oct-2023</v>
      </c>
      <c r="M920">
        <f>HOUR(Table1[[#This Row],[Time]])</f>
        <v>16</v>
      </c>
    </row>
    <row r="921" spans="1:13" x14ac:dyDescent="0.3">
      <c r="A921">
        <v>1920</v>
      </c>
      <c r="B921" s="3">
        <v>45205.995829861109</v>
      </c>
      <c r="C921" s="1">
        <v>45205.995829861109</v>
      </c>
      <c r="D921" t="s">
        <v>117</v>
      </c>
      <c r="E921" t="s">
        <v>17</v>
      </c>
      <c r="F921" t="s">
        <v>15</v>
      </c>
      <c r="G921" t="s">
        <v>56</v>
      </c>
      <c r="H921">
        <v>4</v>
      </c>
      <c r="I921">
        <v>876</v>
      </c>
      <c r="J921">
        <v>3504</v>
      </c>
      <c r="K921" t="str">
        <f>TEXT(Table1[[#This Row],[Date]],"dddd")</f>
        <v>Friday</v>
      </c>
      <c r="L921" t="str">
        <f>TEXT(Table1[[#This Row],[Date]],"mmm-yyyy")</f>
        <v>Oct-2023</v>
      </c>
      <c r="M921">
        <f>HOUR(Table1[[#This Row],[Time]])</f>
        <v>23</v>
      </c>
    </row>
    <row r="922" spans="1:13" x14ac:dyDescent="0.3">
      <c r="A922">
        <v>1921</v>
      </c>
      <c r="B922" s="3">
        <v>45206.299416180555</v>
      </c>
      <c r="C922" s="1">
        <v>45206.299416180555</v>
      </c>
      <c r="D922" t="s">
        <v>100</v>
      </c>
      <c r="E922" t="s">
        <v>14</v>
      </c>
      <c r="F922" t="s">
        <v>11</v>
      </c>
      <c r="G922" t="s">
        <v>29</v>
      </c>
      <c r="H922">
        <v>3</v>
      </c>
      <c r="I922">
        <v>102</v>
      </c>
      <c r="J922">
        <v>306</v>
      </c>
      <c r="K922" t="str">
        <f>TEXT(Table1[[#This Row],[Date]],"dddd")</f>
        <v>Saturday</v>
      </c>
      <c r="L922" t="str">
        <f>TEXT(Table1[[#This Row],[Date]],"mmm-yyyy")</f>
        <v>Oct-2023</v>
      </c>
      <c r="M922">
        <f>HOUR(Table1[[#This Row],[Time]])</f>
        <v>7</v>
      </c>
    </row>
    <row r="923" spans="1:13" x14ac:dyDescent="0.3">
      <c r="A923">
        <v>1922</v>
      </c>
      <c r="B923" s="3">
        <v>45206.6030025</v>
      </c>
      <c r="C923" s="1">
        <v>45206.6030025</v>
      </c>
      <c r="D923" t="s">
        <v>302</v>
      </c>
      <c r="E923" t="s">
        <v>14</v>
      </c>
      <c r="F923" t="s">
        <v>11</v>
      </c>
      <c r="G923" t="s">
        <v>19</v>
      </c>
      <c r="H923">
        <v>5</v>
      </c>
      <c r="I923">
        <v>184</v>
      </c>
      <c r="J923">
        <v>920</v>
      </c>
      <c r="K923" t="str">
        <f>TEXT(Table1[[#This Row],[Date]],"dddd")</f>
        <v>Saturday</v>
      </c>
      <c r="L923" t="str">
        <f>TEXT(Table1[[#This Row],[Date]],"mmm-yyyy")</f>
        <v>Oct-2023</v>
      </c>
      <c r="M923">
        <f>HOUR(Table1[[#This Row],[Time]])</f>
        <v>14</v>
      </c>
    </row>
    <row r="924" spans="1:13" x14ac:dyDescent="0.3">
      <c r="A924">
        <v>1923</v>
      </c>
      <c r="B924" s="3">
        <v>45206.906588819445</v>
      </c>
      <c r="C924" s="1">
        <v>45206.906588819445</v>
      </c>
      <c r="D924" t="s">
        <v>112</v>
      </c>
      <c r="E924" t="s">
        <v>17</v>
      </c>
      <c r="F924" t="s">
        <v>11</v>
      </c>
      <c r="G924" t="s">
        <v>35</v>
      </c>
      <c r="H924">
        <v>5</v>
      </c>
      <c r="I924">
        <v>893</v>
      </c>
      <c r="J924">
        <v>4465</v>
      </c>
      <c r="K924" t="str">
        <f>TEXT(Table1[[#This Row],[Date]],"dddd")</f>
        <v>Saturday</v>
      </c>
      <c r="L924" t="str">
        <f>TEXT(Table1[[#This Row],[Date]],"mmm-yyyy")</f>
        <v>Oct-2023</v>
      </c>
      <c r="M924">
        <f>HOUR(Table1[[#This Row],[Time]])</f>
        <v>21</v>
      </c>
    </row>
    <row r="925" spans="1:13" x14ac:dyDescent="0.3">
      <c r="A925">
        <v>1924</v>
      </c>
      <c r="B925" s="3">
        <v>45207.21017515046</v>
      </c>
      <c r="C925" s="1">
        <v>45207.21017515046</v>
      </c>
      <c r="D925" t="s">
        <v>222</v>
      </c>
      <c r="E925" t="s">
        <v>28</v>
      </c>
      <c r="F925" t="s">
        <v>24</v>
      </c>
      <c r="G925" t="s">
        <v>56</v>
      </c>
      <c r="H925">
        <v>5</v>
      </c>
      <c r="I925">
        <v>427</v>
      </c>
      <c r="J925">
        <v>2135</v>
      </c>
      <c r="K925" t="str">
        <f>TEXT(Table1[[#This Row],[Date]],"dddd")</f>
        <v>Sunday</v>
      </c>
      <c r="L925" t="str">
        <f>TEXT(Table1[[#This Row],[Date]],"mmm-yyyy")</f>
        <v>Oct-2023</v>
      </c>
      <c r="M925">
        <f>HOUR(Table1[[#This Row],[Time]])</f>
        <v>5</v>
      </c>
    </row>
    <row r="926" spans="1:13" x14ac:dyDescent="0.3">
      <c r="A926">
        <v>1925</v>
      </c>
      <c r="B926" s="3">
        <v>45207.513761469905</v>
      </c>
      <c r="C926" s="1">
        <v>45207.513761469905</v>
      </c>
      <c r="D926" t="s">
        <v>263</v>
      </c>
      <c r="E926" t="s">
        <v>14</v>
      </c>
      <c r="F926" t="s">
        <v>39</v>
      </c>
      <c r="G926" t="s">
        <v>35</v>
      </c>
      <c r="H926">
        <v>3</v>
      </c>
      <c r="I926">
        <v>915</v>
      </c>
      <c r="J926">
        <v>2745</v>
      </c>
      <c r="K926" t="str">
        <f>TEXT(Table1[[#This Row],[Date]],"dddd")</f>
        <v>Sunday</v>
      </c>
      <c r="L926" t="str">
        <f>TEXT(Table1[[#This Row],[Date]],"mmm-yyyy")</f>
        <v>Oct-2023</v>
      </c>
      <c r="M926">
        <f>HOUR(Table1[[#This Row],[Time]])</f>
        <v>12</v>
      </c>
    </row>
    <row r="927" spans="1:13" x14ac:dyDescent="0.3">
      <c r="A927">
        <v>1926</v>
      </c>
      <c r="B927" s="3">
        <v>45207.817347789351</v>
      </c>
      <c r="C927" s="1">
        <v>45207.817347789351</v>
      </c>
      <c r="D927" t="s">
        <v>295</v>
      </c>
      <c r="E927" t="s">
        <v>28</v>
      </c>
      <c r="F927" t="s">
        <v>11</v>
      </c>
      <c r="G927" t="s">
        <v>56</v>
      </c>
      <c r="H927">
        <v>3</v>
      </c>
      <c r="I927">
        <v>549</v>
      </c>
      <c r="J927">
        <v>1647</v>
      </c>
      <c r="K927" t="str">
        <f>TEXT(Table1[[#This Row],[Date]],"dddd")</f>
        <v>Sunday</v>
      </c>
      <c r="L927" t="str">
        <f>TEXT(Table1[[#This Row],[Date]],"mmm-yyyy")</f>
        <v>Oct-2023</v>
      </c>
      <c r="M927">
        <f>HOUR(Table1[[#This Row],[Time]])</f>
        <v>19</v>
      </c>
    </row>
    <row r="928" spans="1:13" x14ac:dyDescent="0.3">
      <c r="A928">
        <v>1927</v>
      </c>
      <c r="B928" s="3">
        <v>45208.120934108796</v>
      </c>
      <c r="C928" s="1">
        <v>45208.120934108796</v>
      </c>
      <c r="D928" t="s">
        <v>314</v>
      </c>
      <c r="E928" t="s">
        <v>14</v>
      </c>
      <c r="F928" t="s">
        <v>18</v>
      </c>
      <c r="G928" t="s">
        <v>35</v>
      </c>
      <c r="H928">
        <v>2</v>
      </c>
      <c r="I928">
        <v>553</v>
      </c>
      <c r="J928">
        <v>1106</v>
      </c>
      <c r="K928" t="str">
        <f>TEXT(Table1[[#This Row],[Date]],"dddd")</f>
        <v>Monday</v>
      </c>
      <c r="L928" t="str">
        <f>TEXT(Table1[[#This Row],[Date]],"mmm-yyyy")</f>
        <v>Oct-2023</v>
      </c>
      <c r="M928">
        <f>HOUR(Table1[[#This Row],[Time]])</f>
        <v>2</v>
      </c>
    </row>
    <row r="929" spans="1:13" x14ac:dyDescent="0.3">
      <c r="A929">
        <v>1928</v>
      </c>
      <c r="B929" s="3">
        <v>45208.424520428242</v>
      </c>
      <c r="C929" s="1">
        <v>45208.424520428242</v>
      </c>
      <c r="D929" t="s">
        <v>173</v>
      </c>
      <c r="E929" t="s">
        <v>10</v>
      </c>
      <c r="F929" t="s">
        <v>11</v>
      </c>
      <c r="G929" t="s">
        <v>33</v>
      </c>
      <c r="H929">
        <v>4</v>
      </c>
      <c r="I929">
        <v>728</v>
      </c>
      <c r="J929">
        <v>2912</v>
      </c>
      <c r="K929" t="str">
        <f>TEXT(Table1[[#This Row],[Date]],"dddd")</f>
        <v>Monday</v>
      </c>
      <c r="L929" t="str">
        <f>TEXT(Table1[[#This Row],[Date]],"mmm-yyyy")</f>
        <v>Oct-2023</v>
      </c>
      <c r="M929">
        <f>HOUR(Table1[[#This Row],[Time]])</f>
        <v>10</v>
      </c>
    </row>
    <row r="930" spans="1:13" x14ac:dyDescent="0.3">
      <c r="A930">
        <v>1929</v>
      </c>
      <c r="B930" s="3">
        <v>45208.728106759256</v>
      </c>
      <c r="C930" s="1">
        <v>45208.728106759256</v>
      </c>
      <c r="D930" t="s">
        <v>262</v>
      </c>
      <c r="E930" t="s">
        <v>10</v>
      </c>
      <c r="F930" t="s">
        <v>39</v>
      </c>
      <c r="G930" t="s">
        <v>12</v>
      </c>
      <c r="H930">
        <v>1</v>
      </c>
      <c r="I930">
        <v>320</v>
      </c>
      <c r="J930">
        <v>320</v>
      </c>
      <c r="K930" t="str">
        <f>TEXT(Table1[[#This Row],[Date]],"dddd")</f>
        <v>Monday</v>
      </c>
      <c r="L930" t="str">
        <f>TEXT(Table1[[#This Row],[Date]],"mmm-yyyy")</f>
        <v>Oct-2023</v>
      </c>
      <c r="M930">
        <f>HOUR(Table1[[#This Row],[Time]])</f>
        <v>17</v>
      </c>
    </row>
    <row r="931" spans="1:13" x14ac:dyDescent="0.3">
      <c r="A931">
        <v>1930</v>
      </c>
      <c r="B931" s="3">
        <v>45209.031693078701</v>
      </c>
      <c r="C931" s="1">
        <v>45209.031693078701</v>
      </c>
      <c r="D931" t="s">
        <v>68</v>
      </c>
      <c r="E931" t="s">
        <v>17</v>
      </c>
      <c r="F931" t="s">
        <v>15</v>
      </c>
      <c r="G931" t="s">
        <v>56</v>
      </c>
      <c r="H931">
        <v>5</v>
      </c>
      <c r="I931">
        <v>253</v>
      </c>
      <c r="J931">
        <v>1265</v>
      </c>
      <c r="K931" t="str">
        <f>TEXT(Table1[[#This Row],[Date]],"dddd")</f>
        <v>Tuesday</v>
      </c>
      <c r="L931" t="str">
        <f>TEXT(Table1[[#This Row],[Date]],"mmm-yyyy")</f>
        <v>Oct-2023</v>
      </c>
      <c r="M931">
        <f>HOUR(Table1[[#This Row],[Time]])</f>
        <v>0</v>
      </c>
    </row>
    <row r="932" spans="1:13" x14ac:dyDescent="0.3">
      <c r="A932">
        <v>1931</v>
      </c>
      <c r="B932" s="3">
        <v>45209.335279398147</v>
      </c>
      <c r="C932" s="1">
        <v>45209.335279398147</v>
      </c>
      <c r="D932" t="s">
        <v>315</v>
      </c>
      <c r="E932" t="s">
        <v>10</v>
      </c>
      <c r="F932" t="s">
        <v>15</v>
      </c>
      <c r="G932" t="s">
        <v>22</v>
      </c>
      <c r="H932">
        <v>2</v>
      </c>
      <c r="I932">
        <v>764</v>
      </c>
      <c r="J932">
        <v>1528</v>
      </c>
      <c r="K932" t="str">
        <f>TEXT(Table1[[#This Row],[Date]],"dddd")</f>
        <v>Tuesday</v>
      </c>
      <c r="L932" t="str">
        <f>TEXT(Table1[[#This Row],[Date]],"mmm-yyyy")</f>
        <v>Oct-2023</v>
      </c>
      <c r="M932">
        <f>HOUR(Table1[[#This Row],[Time]])</f>
        <v>8</v>
      </c>
    </row>
    <row r="933" spans="1:13" x14ac:dyDescent="0.3">
      <c r="A933">
        <v>1932</v>
      </c>
      <c r="B933" s="3">
        <v>45209.638865717592</v>
      </c>
      <c r="C933" s="1">
        <v>45209.638865717592</v>
      </c>
      <c r="D933" t="s">
        <v>266</v>
      </c>
      <c r="E933" t="s">
        <v>14</v>
      </c>
      <c r="F933" t="s">
        <v>11</v>
      </c>
      <c r="G933" t="s">
        <v>25</v>
      </c>
      <c r="H933">
        <v>1</v>
      </c>
      <c r="I933">
        <v>111</v>
      </c>
      <c r="J933">
        <v>111</v>
      </c>
      <c r="K933" t="str">
        <f>TEXT(Table1[[#This Row],[Date]],"dddd")</f>
        <v>Tuesday</v>
      </c>
      <c r="L933" t="str">
        <f>TEXT(Table1[[#This Row],[Date]],"mmm-yyyy")</f>
        <v>Oct-2023</v>
      </c>
      <c r="M933">
        <f>HOUR(Table1[[#This Row],[Time]])</f>
        <v>15</v>
      </c>
    </row>
    <row r="934" spans="1:13" x14ac:dyDescent="0.3">
      <c r="A934">
        <v>1933</v>
      </c>
      <c r="B934" s="3">
        <v>45209.942452048614</v>
      </c>
      <c r="C934" s="1">
        <v>45209.942452048614</v>
      </c>
      <c r="D934" t="s">
        <v>175</v>
      </c>
      <c r="E934" t="s">
        <v>14</v>
      </c>
      <c r="F934" t="s">
        <v>18</v>
      </c>
      <c r="G934" t="s">
        <v>35</v>
      </c>
      <c r="H934">
        <v>2</v>
      </c>
      <c r="I934">
        <v>232</v>
      </c>
      <c r="J934">
        <v>464</v>
      </c>
      <c r="K934" t="str">
        <f>TEXT(Table1[[#This Row],[Date]],"dddd")</f>
        <v>Tuesday</v>
      </c>
      <c r="L934" t="str">
        <f>TEXT(Table1[[#This Row],[Date]],"mmm-yyyy")</f>
        <v>Oct-2023</v>
      </c>
      <c r="M934">
        <f>HOUR(Table1[[#This Row],[Time]])</f>
        <v>22</v>
      </c>
    </row>
    <row r="935" spans="1:13" x14ac:dyDescent="0.3">
      <c r="A935">
        <v>1934</v>
      </c>
      <c r="B935" s="3">
        <v>45210.246038368059</v>
      </c>
      <c r="C935" s="1">
        <v>45210.246038368059</v>
      </c>
      <c r="D935" t="s">
        <v>112</v>
      </c>
      <c r="E935" t="s">
        <v>10</v>
      </c>
      <c r="F935" t="s">
        <v>18</v>
      </c>
      <c r="G935" t="s">
        <v>35</v>
      </c>
      <c r="H935">
        <v>3</v>
      </c>
      <c r="I935">
        <v>403</v>
      </c>
      <c r="J935">
        <v>1209</v>
      </c>
      <c r="K935" t="str">
        <f>TEXT(Table1[[#This Row],[Date]],"dddd")</f>
        <v>Wednesday</v>
      </c>
      <c r="L935" t="str">
        <f>TEXT(Table1[[#This Row],[Date]],"mmm-yyyy")</f>
        <v>Oct-2023</v>
      </c>
      <c r="M935">
        <f>HOUR(Table1[[#This Row],[Time]])</f>
        <v>5</v>
      </c>
    </row>
    <row r="936" spans="1:13" x14ac:dyDescent="0.3">
      <c r="A936">
        <v>1935</v>
      </c>
      <c r="B936" s="3">
        <v>45210.549624687497</v>
      </c>
      <c r="C936" s="1">
        <v>45210.549624687497</v>
      </c>
      <c r="D936" t="s">
        <v>286</v>
      </c>
      <c r="E936" t="s">
        <v>10</v>
      </c>
      <c r="F936" t="s">
        <v>24</v>
      </c>
      <c r="G936" t="s">
        <v>40</v>
      </c>
      <c r="H936">
        <v>5</v>
      </c>
      <c r="I936">
        <v>392</v>
      </c>
      <c r="J936">
        <v>1960</v>
      </c>
      <c r="K936" t="str">
        <f>TEXT(Table1[[#This Row],[Date]],"dddd")</f>
        <v>Wednesday</v>
      </c>
      <c r="L936" t="str">
        <f>TEXT(Table1[[#This Row],[Date]],"mmm-yyyy")</f>
        <v>Oct-2023</v>
      </c>
      <c r="M936">
        <f>HOUR(Table1[[#This Row],[Time]])</f>
        <v>13</v>
      </c>
    </row>
    <row r="937" spans="1:13" x14ac:dyDescent="0.3">
      <c r="A937">
        <v>1936</v>
      </c>
      <c r="B937" s="3">
        <v>45210.853211006943</v>
      </c>
      <c r="C937" s="1">
        <v>45210.853211006943</v>
      </c>
      <c r="D937" t="s">
        <v>73</v>
      </c>
      <c r="E937" t="s">
        <v>10</v>
      </c>
      <c r="F937" t="s">
        <v>18</v>
      </c>
      <c r="G937" t="s">
        <v>29</v>
      </c>
      <c r="H937">
        <v>1</v>
      </c>
      <c r="I937">
        <v>399</v>
      </c>
      <c r="J937">
        <v>399</v>
      </c>
      <c r="K937" t="str">
        <f>TEXT(Table1[[#This Row],[Date]],"dddd")</f>
        <v>Wednesday</v>
      </c>
      <c r="L937" t="str">
        <f>TEXT(Table1[[#This Row],[Date]],"mmm-yyyy")</f>
        <v>Oct-2023</v>
      </c>
      <c r="M937">
        <f>HOUR(Table1[[#This Row],[Time]])</f>
        <v>20</v>
      </c>
    </row>
    <row r="938" spans="1:13" x14ac:dyDescent="0.3">
      <c r="A938">
        <v>1937</v>
      </c>
      <c r="B938" s="3">
        <v>45211.156797326388</v>
      </c>
      <c r="C938" s="1">
        <v>45211.156797326388</v>
      </c>
      <c r="D938" t="s">
        <v>226</v>
      </c>
      <c r="E938" t="s">
        <v>17</v>
      </c>
      <c r="F938" t="s">
        <v>24</v>
      </c>
      <c r="G938" t="s">
        <v>19</v>
      </c>
      <c r="H938">
        <v>1</v>
      </c>
      <c r="I938">
        <v>839</v>
      </c>
      <c r="J938">
        <v>839</v>
      </c>
      <c r="K938" t="str">
        <f>TEXT(Table1[[#This Row],[Date]],"dddd")</f>
        <v>Thursday</v>
      </c>
      <c r="L938" t="str">
        <f>TEXT(Table1[[#This Row],[Date]],"mmm-yyyy")</f>
        <v>Oct-2023</v>
      </c>
      <c r="M938">
        <f>HOUR(Table1[[#This Row],[Time]])</f>
        <v>3</v>
      </c>
    </row>
    <row r="939" spans="1:13" x14ac:dyDescent="0.3">
      <c r="A939">
        <v>1938</v>
      </c>
      <c r="B939" s="3">
        <v>45211.46038365741</v>
      </c>
      <c r="C939" s="1">
        <v>45211.46038365741</v>
      </c>
      <c r="D939" t="s">
        <v>263</v>
      </c>
      <c r="E939" t="s">
        <v>10</v>
      </c>
      <c r="F939" t="s">
        <v>24</v>
      </c>
      <c r="G939" t="s">
        <v>19</v>
      </c>
      <c r="H939">
        <v>1</v>
      </c>
      <c r="I939">
        <v>882</v>
      </c>
      <c r="J939">
        <v>882</v>
      </c>
      <c r="K939" t="str">
        <f>TEXT(Table1[[#This Row],[Date]],"dddd")</f>
        <v>Thursday</v>
      </c>
      <c r="L939" t="str">
        <f>TEXT(Table1[[#This Row],[Date]],"mmm-yyyy")</f>
        <v>Oct-2023</v>
      </c>
      <c r="M939">
        <f>HOUR(Table1[[#This Row],[Time]])</f>
        <v>11</v>
      </c>
    </row>
    <row r="940" spans="1:13" x14ac:dyDescent="0.3">
      <c r="A940">
        <v>1939</v>
      </c>
      <c r="B940" s="3">
        <v>45211.763969976855</v>
      </c>
      <c r="C940" s="1">
        <v>45211.763969976855</v>
      </c>
      <c r="D940" t="s">
        <v>52</v>
      </c>
      <c r="E940" t="s">
        <v>14</v>
      </c>
      <c r="F940" t="s">
        <v>18</v>
      </c>
      <c r="G940" t="s">
        <v>56</v>
      </c>
      <c r="H940">
        <v>1</v>
      </c>
      <c r="I940">
        <v>142</v>
      </c>
      <c r="J940">
        <v>142</v>
      </c>
      <c r="K940" t="str">
        <f>TEXT(Table1[[#This Row],[Date]],"dddd")</f>
        <v>Thursday</v>
      </c>
      <c r="L940" t="str">
        <f>TEXT(Table1[[#This Row],[Date]],"mmm-yyyy")</f>
        <v>Oct-2023</v>
      </c>
      <c r="M940">
        <f>HOUR(Table1[[#This Row],[Time]])</f>
        <v>18</v>
      </c>
    </row>
    <row r="941" spans="1:13" x14ac:dyDescent="0.3">
      <c r="A941">
        <v>1940</v>
      </c>
      <c r="B941" s="3">
        <v>45212.067556296293</v>
      </c>
      <c r="C941" s="1">
        <v>45212.067556296293</v>
      </c>
      <c r="D941" t="s">
        <v>132</v>
      </c>
      <c r="E941" t="s">
        <v>10</v>
      </c>
      <c r="F941" t="s">
        <v>18</v>
      </c>
      <c r="G941" t="s">
        <v>40</v>
      </c>
      <c r="H941">
        <v>1</v>
      </c>
      <c r="I941">
        <v>442</v>
      </c>
      <c r="J941">
        <v>442</v>
      </c>
      <c r="K941" t="str">
        <f>TEXT(Table1[[#This Row],[Date]],"dddd")</f>
        <v>Friday</v>
      </c>
      <c r="L941" t="str">
        <f>TEXT(Table1[[#This Row],[Date]],"mmm-yyyy")</f>
        <v>Oct-2023</v>
      </c>
      <c r="M941">
        <f>HOUR(Table1[[#This Row],[Time]])</f>
        <v>1</v>
      </c>
    </row>
    <row r="942" spans="1:13" x14ac:dyDescent="0.3">
      <c r="A942">
        <v>1941</v>
      </c>
      <c r="B942" s="3">
        <v>45212.371142615739</v>
      </c>
      <c r="C942" s="1">
        <v>45212.371142615739</v>
      </c>
      <c r="D942" t="s">
        <v>84</v>
      </c>
      <c r="E942" t="s">
        <v>17</v>
      </c>
      <c r="F942" t="s">
        <v>24</v>
      </c>
      <c r="G942" t="s">
        <v>42</v>
      </c>
      <c r="H942">
        <v>2</v>
      </c>
      <c r="I942">
        <v>425</v>
      </c>
      <c r="J942">
        <v>850</v>
      </c>
      <c r="K942" t="str">
        <f>TEXT(Table1[[#This Row],[Date]],"dddd")</f>
        <v>Friday</v>
      </c>
      <c r="L942" t="str">
        <f>TEXT(Table1[[#This Row],[Date]],"mmm-yyyy")</f>
        <v>Oct-2023</v>
      </c>
      <c r="M942">
        <f>HOUR(Table1[[#This Row],[Time]])</f>
        <v>8</v>
      </c>
    </row>
    <row r="943" spans="1:13" x14ac:dyDescent="0.3">
      <c r="A943">
        <v>1942</v>
      </c>
      <c r="B943" s="3">
        <v>45212.674728935184</v>
      </c>
      <c r="C943" s="1">
        <v>45212.674728935184</v>
      </c>
      <c r="D943" t="s">
        <v>129</v>
      </c>
      <c r="E943" t="s">
        <v>17</v>
      </c>
      <c r="F943" t="s">
        <v>15</v>
      </c>
      <c r="G943" t="s">
        <v>29</v>
      </c>
      <c r="H943">
        <v>5</v>
      </c>
      <c r="I943">
        <v>913</v>
      </c>
      <c r="J943">
        <v>4565</v>
      </c>
      <c r="K943" t="str">
        <f>TEXT(Table1[[#This Row],[Date]],"dddd")</f>
        <v>Friday</v>
      </c>
      <c r="L943" t="str">
        <f>TEXT(Table1[[#This Row],[Date]],"mmm-yyyy")</f>
        <v>Oct-2023</v>
      </c>
      <c r="M943">
        <f>HOUR(Table1[[#This Row],[Time]])</f>
        <v>16</v>
      </c>
    </row>
    <row r="944" spans="1:13" x14ac:dyDescent="0.3">
      <c r="A944">
        <v>1943</v>
      </c>
      <c r="B944" s="3">
        <v>45212.978315266206</v>
      </c>
      <c r="C944" s="1">
        <v>45212.978315266206</v>
      </c>
      <c r="D944" t="s">
        <v>223</v>
      </c>
      <c r="E944" t="s">
        <v>14</v>
      </c>
      <c r="F944" t="s">
        <v>11</v>
      </c>
      <c r="G944" t="s">
        <v>33</v>
      </c>
      <c r="H944">
        <v>3</v>
      </c>
      <c r="I944">
        <v>597</v>
      </c>
      <c r="J944">
        <v>1791</v>
      </c>
      <c r="K944" t="str">
        <f>TEXT(Table1[[#This Row],[Date]],"dddd")</f>
        <v>Friday</v>
      </c>
      <c r="L944" t="str">
        <f>TEXT(Table1[[#This Row],[Date]],"mmm-yyyy")</f>
        <v>Oct-2023</v>
      </c>
      <c r="M944">
        <f>HOUR(Table1[[#This Row],[Time]])</f>
        <v>23</v>
      </c>
    </row>
    <row r="945" spans="1:13" x14ac:dyDescent="0.3">
      <c r="A945">
        <v>1944</v>
      </c>
      <c r="B945" s="3">
        <v>45213.281901585651</v>
      </c>
      <c r="C945" s="1">
        <v>45213.281901585651</v>
      </c>
      <c r="D945" t="s">
        <v>134</v>
      </c>
      <c r="E945" t="s">
        <v>14</v>
      </c>
      <c r="F945" t="s">
        <v>15</v>
      </c>
      <c r="G945" t="s">
        <v>33</v>
      </c>
      <c r="H945">
        <v>3</v>
      </c>
      <c r="I945">
        <v>463</v>
      </c>
      <c r="J945">
        <v>1389</v>
      </c>
      <c r="K945" t="str">
        <f>TEXT(Table1[[#This Row],[Date]],"dddd")</f>
        <v>Saturday</v>
      </c>
      <c r="L945" t="str">
        <f>TEXT(Table1[[#This Row],[Date]],"mmm-yyyy")</f>
        <v>Oct-2023</v>
      </c>
      <c r="M945">
        <f>HOUR(Table1[[#This Row],[Time]])</f>
        <v>6</v>
      </c>
    </row>
    <row r="946" spans="1:13" x14ac:dyDescent="0.3">
      <c r="A946">
        <v>1945</v>
      </c>
      <c r="B946" s="3">
        <v>45213.585487905089</v>
      </c>
      <c r="C946" s="1">
        <v>45213.585487905089</v>
      </c>
      <c r="D946" t="s">
        <v>197</v>
      </c>
      <c r="E946" t="s">
        <v>10</v>
      </c>
      <c r="F946" t="s">
        <v>18</v>
      </c>
      <c r="G946" t="s">
        <v>19</v>
      </c>
      <c r="H946">
        <v>3</v>
      </c>
      <c r="I946">
        <v>990</v>
      </c>
      <c r="J946">
        <v>2970</v>
      </c>
      <c r="K946" t="str">
        <f>TEXT(Table1[[#This Row],[Date]],"dddd")</f>
        <v>Saturday</v>
      </c>
      <c r="L946" t="str">
        <f>TEXT(Table1[[#This Row],[Date]],"mmm-yyyy")</f>
        <v>Oct-2023</v>
      </c>
      <c r="M946">
        <f>HOUR(Table1[[#This Row],[Time]])</f>
        <v>14</v>
      </c>
    </row>
    <row r="947" spans="1:13" x14ac:dyDescent="0.3">
      <c r="A947">
        <v>1946</v>
      </c>
      <c r="B947" s="3">
        <v>45213.889074224535</v>
      </c>
      <c r="C947" s="1">
        <v>45213.889074224535</v>
      </c>
      <c r="D947" t="s">
        <v>141</v>
      </c>
      <c r="E947" t="s">
        <v>14</v>
      </c>
      <c r="F947" t="s">
        <v>39</v>
      </c>
      <c r="G947" t="s">
        <v>56</v>
      </c>
      <c r="H947">
        <v>3</v>
      </c>
      <c r="I947">
        <v>526</v>
      </c>
      <c r="J947">
        <v>1578</v>
      </c>
      <c r="K947" t="str">
        <f>TEXT(Table1[[#This Row],[Date]],"dddd")</f>
        <v>Saturday</v>
      </c>
      <c r="L947" t="str">
        <f>TEXT(Table1[[#This Row],[Date]],"mmm-yyyy")</f>
        <v>Oct-2023</v>
      </c>
      <c r="M947">
        <f>HOUR(Table1[[#This Row],[Time]])</f>
        <v>21</v>
      </c>
    </row>
    <row r="948" spans="1:13" x14ac:dyDescent="0.3">
      <c r="A948">
        <v>1947</v>
      </c>
      <c r="B948" s="3">
        <v>45214.192660555556</v>
      </c>
      <c r="C948" s="1">
        <v>45214.192660555556</v>
      </c>
      <c r="D948" t="s">
        <v>230</v>
      </c>
      <c r="E948" t="s">
        <v>28</v>
      </c>
      <c r="F948" t="s">
        <v>18</v>
      </c>
      <c r="G948" t="s">
        <v>35</v>
      </c>
      <c r="H948">
        <v>2</v>
      </c>
      <c r="I948">
        <v>120</v>
      </c>
      <c r="J948">
        <v>240</v>
      </c>
      <c r="K948" t="str">
        <f>TEXT(Table1[[#This Row],[Date]],"dddd")</f>
        <v>Sunday</v>
      </c>
      <c r="L948" t="str">
        <f>TEXT(Table1[[#This Row],[Date]],"mmm-yyyy")</f>
        <v>Oct-2023</v>
      </c>
      <c r="M948">
        <f>HOUR(Table1[[#This Row],[Time]])</f>
        <v>4</v>
      </c>
    </row>
    <row r="949" spans="1:13" x14ac:dyDescent="0.3">
      <c r="A949">
        <v>1948</v>
      </c>
      <c r="B949" s="3">
        <v>45214.496246875002</v>
      </c>
      <c r="C949" s="1">
        <v>45214.496246875002</v>
      </c>
      <c r="D949" t="s">
        <v>274</v>
      </c>
      <c r="E949" t="s">
        <v>14</v>
      </c>
      <c r="F949" t="s">
        <v>24</v>
      </c>
      <c r="G949" t="s">
        <v>40</v>
      </c>
      <c r="H949">
        <v>4</v>
      </c>
      <c r="I949">
        <v>506</v>
      </c>
      <c r="J949">
        <v>2024</v>
      </c>
      <c r="K949" t="str">
        <f>TEXT(Table1[[#This Row],[Date]],"dddd")</f>
        <v>Sunday</v>
      </c>
      <c r="L949" t="str">
        <f>TEXT(Table1[[#This Row],[Date]],"mmm-yyyy")</f>
        <v>Oct-2023</v>
      </c>
      <c r="M949">
        <f>HOUR(Table1[[#This Row],[Time]])</f>
        <v>11</v>
      </c>
    </row>
    <row r="950" spans="1:13" x14ac:dyDescent="0.3">
      <c r="A950">
        <v>1949</v>
      </c>
      <c r="B950" s="3">
        <v>45214.799833194447</v>
      </c>
      <c r="C950" s="1">
        <v>45214.799833194447</v>
      </c>
      <c r="D950" t="s">
        <v>105</v>
      </c>
      <c r="E950" t="s">
        <v>28</v>
      </c>
      <c r="F950" t="s">
        <v>39</v>
      </c>
      <c r="G950" t="s">
        <v>56</v>
      </c>
      <c r="H950">
        <v>5</v>
      </c>
      <c r="I950">
        <v>718</v>
      </c>
      <c r="J950">
        <v>3590</v>
      </c>
      <c r="K950" t="str">
        <f>TEXT(Table1[[#This Row],[Date]],"dddd")</f>
        <v>Sunday</v>
      </c>
      <c r="L950" t="str">
        <f>TEXT(Table1[[#This Row],[Date]],"mmm-yyyy")</f>
        <v>Oct-2023</v>
      </c>
      <c r="M950">
        <f>HOUR(Table1[[#This Row],[Time]])</f>
        <v>19</v>
      </c>
    </row>
    <row r="951" spans="1:13" x14ac:dyDescent="0.3">
      <c r="A951">
        <v>1950</v>
      </c>
      <c r="B951" s="3">
        <v>45215.103419513885</v>
      </c>
      <c r="C951" s="1">
        <v>45215.103419513885</v>
      </c>
      <c r="D951" t="s">
        <v>295</v>
      </c>
      <c r="E951" t="s">
        <v>28</v>
      </c>
      <c r="F951" t="s">
        <v>39</v>
      </c>
      <c r="G951" t="s">
        <v>25</v>
      </c>
      <c r="H951">
        <v>1</v>
      </c>
      <c r="I951">
        <v>435</v>
      </c>
      <c r="J951">
        <v>435</v>
      </c>
      <c r="K951" t="str">
        <f>TEXT(Table1[[#This Row],[Date]],"dddd")</f>
        <v>Monday</v>
      </c>
      <c r="L951" t="str">
        <f>TEXT(Table1[[#This Row],[Date]],"mmm-yyyy")</f>
        <v>Oct-2023</v>
      </c>
      <c r="M951">
        <f>HOUR(Table1[[#This Row],[Time]])</f>
        <v>2</v>
      </c>
    </row>
    <row r="952" spans="1:13" x14ac:dyDescent="0.3">
      <c r="A952">
        <v>1951</v>
      </c>
      <c r="B952" s="3">
        <v>45215.407005833331</v>
      </c>
      <c r="C952" s="1">
        <v>45215.407005833331</v>
      </c>
      <c r="D952" t="s">
        <v>60</v>
      </c>
      <c r="E952" t="s">
        <v>14</v>
      </c>
      <c r="F952" t="s">
        <v>11</v>
      </c>
      <c r="G952" t="s">
        <v>35</v>
      </c>
      <c r="H952">
        <v>4</v>
      </c>
      <c r="I952">
        <v>914</v>
      </c>
      <c r="J952">
        <v>3656</v>
      </c>
      <c r="K952" t="str">
        <f>TEXT(Table1[[#This Row],[Date]],"dddd")</f>
        <v>Monday</v>
      </c>
      <c r="L952" t="str">
        <f>TEXT(Table1[[#This Row],[Date]],"mmm-yyyy")</f>
        <v>Oct-2023</v>
      </c>
      <c r="M952">
        <f>HOUR(Table1[[#This Row],[Time]])</f>
        <v>9</v>
      </c>
    </row>
    <row r="953" spans="1:13" x14ac:dyDescent="0.3">
      <c r="A953">
        <v>1952</v>
      </c>
      <c r="B953" s="3">
        <v>45215.710592164352</v>
      </c>
      <c r="C953" s="1">
        <v>45215.710592164352</v>
      </c>
      <c r="D953" t="s">
        <v>227</v>
      </c>
      <c r="E953" t="s">
        <v>28</v>
      </c>
      <c r="F953" t="s">
        <v>18</v>
      </c>
      <c r="G953" t="s">
        <v>35</v>
      </c>
      <c r="H953">
        <v>3</v>
      </c>
      <c r="I953">
        <v>216</v>
      </c>
      <c r="J953">
        <v>648</v>
      </c>
      <c r="K953" t="str">
        <f>TEXT(Table1[[#This Row],[Date]],"dddd")</f>
        <v>Monday</v>
      </c>
      <c r="L953" t="str">
        <f>TEXT(Table1[[#This Row],[Date]],"mmm-yyyy")</f>
        <v>Oct-2023</v>
      </c>
      <c r="M953">
        <f>HOUR(Table1[[#This Row],[Time]])</f>
        <v>17</v>
      </c>
    </row>
    <row r="954" spans="1:13" x14ac:dyDescent="0.3">
      <c r="A954">
        <v>1953</v>
      </c>
      <c r="B954" s="3">
        <v>45216.014178483798</v>
      </c>
      <c r="C954" s="1">
        <v>45216.014178483798</v>
      </c>
      <c r="D954" t="s">
        <v>68</v>
      </c>
      <c r="E954" t="s">
        <v>14</v>
      </c>
      <c r="F954" t="s">
        <v>11</v>
      </c>
      <c r="G954" t="s">
        <v>42</v>
      </c>
      <c r="H954">
        <v>4</v>
      </c>
      <c r="I954">
        <v>223</v>
      </c>
      <c r="J954">
        <v>892</v>
      </c>
      <c r="K954" t="str">
        <f>TEXT(Table1[[#This Row],[Date]],"dddd")</f>
        <v>Tuesday</v>
      </c>
      <c r="L954" t="str">
        <f>TEXT(Table1[[#This Row],[Date]],"mmm-yyyy")</f>
        <v>Oct-2023</v>
      </c>
      <c r="M954">
        <f>HOUR(Table1[[#This Row],[Time]])</f>
        <v>0</v>
      </c>
    </row>
    <row r="955" spans="1:13" x14ac:dyDescent="0.3">
      <c r="A955">
        <v>1954</v>
      </c>
      <c r="B955" s="3">
        <v>45216.317764803243</v>
      </c>
      <c r="C955" s="1">
        <v>45216.317764803243</v>
      </c>
      <c r="D955" t="s">
        <v>217</v>
      </c>
      <c r="E955" t="s">
        <v>14</v>
      </c>
      <c r="F955" t="s">
        <v>15</v>
      </c>
      <c r="G955" t="s">
        <v>33</v>
      </c>
      <c r="H955">
        <v>5</v>
      </c>
      <c r="I955">
        <v>498</v>
      </c>
      <c r="J955">
        <v>2490</v>
      </c>
      <c r="K955" t="str">
        <f>TEXT(Table1[[#This Row],[Date]],"dddd")</f>
        <v>Tuesday</v>
      </c>
      <c r="L955" t="str">
        <f>TEXT(Table1[[#This Row],[Date]],"mmm-yyyy")</f>
        <v>Oct-2023</v>
      </c>
      <c r="M955">
        <f>HOUR(Table1[[#This Row],[Time]])</f>
        <v>7</v>
      </c>
    </row>
    <row r="956" spans="1:13" x14ac:dyDescent="0.3">
      <c r="A956">
        <v>1955</v>
      </c>
      <c r="B956" s="3">
        <v>45216.621351122689</v>
      </c>
      <c r="C956" s="1">
        <v>45216.621351122689</v>
      </c>
      <c r="D956" t="s">
        <v>66</v>
      </c>
      <c r="E956" t="s">
        <v>17</v>
      </c>
      <c r="F956" t="s">
        <v>39</v>
      </c>
      <c r="G956" t="s">
        <v>33</v>
      </c>
      <c r="H956">
        <v>1</v>
      </c>
      <c r="I956">
        <v>892</v>
      </c>
      <c r="J956">
        <v>892</v>
      </c>
      <c r="K956" t="str">
        <f>TEXT(Table1[[#This Row],[Date]],"dddd")</f>
        <v>Tuesday</v>
      </c>
      <c r="L956" t="str">
        <f>TEXT(Table1[[#This Row],[Date]],"mmm-yyyy")</f>
        <v>Oct-2023</v>
      </c>
      <c r="M956">
        <f>HOUR(Table1[[#This Row],[Time]])</f>
        <v>14</v>
      </c>
    </row>
    <row r="957" spans="1:13" x14ac:dyDescent="0.3">
      <c r="A957">
        <v>1956</v>
      </c>
      <c r="B957" s="3">
        <v>45216.924937442127</v>
      </c>
      <c r="C957" s="1">
        <v>45216.924937442127</v>
      </c>
      <c r="D957" t="s">
        <v>262</v>
      </c>
      <c r="E957" t="s">
        <v>28</v>
      </c>
      <c r="F957" t="s">
        <v>11</v>
      </c>
      <c r="G957" t="s">
        <v>40</v>
      </c>
      <c r="H957">
        <v>1</v>
      </c>
      <c r="I957">
        <v>903</v>
      </c>
      <c r="J957">
        <v>903</v>
      </c>
      <c r="K957" t="str">
        <f>TEXT(Table1[[#This Row],[Date]],"dddd")</f>
        <v>Tuesday</v>
      </c>
      <c r="L957" t="str">
        <f>TEXT(Table1[[#This Row],[Date]],"mmm-yyyy")</f>
        <v>Oct-2023</v>
      </c>
      <c r="M957">
        <f>HOUR(Table1[[#This Row],[Time]])</f>
        <v>22</v>
      </c>
    </row>
    <row r="958" spans="1:13" x14ac:dyDescent="0.3">
      <c r="A958">
        <v>1957</v>
      </c>
      <c r="B958" s="3">
        <v>45217.228523773148</v>
      </c>
      <c r="C958" s="1">
        <v>45217.228523773148</v>
      </c>
      <c r="D958" t="s">
        <v>258</v>
      </c>
      <c r="E958" t="s">
        <v>28</v>
      </c>
      <c r="F958" t="s">
        <v>15</v>
      </c>
      <c r="G958" t="s">
        <v>40</v>
      </c>
      <c r="H958">
        <v>5</v>
      </c>
      <c r="I958">
        <v>814</v>
      </c>
      <c r="J958">
        <v>4070</v>
      </c>
      <c r="K958" t="str">
        <f>TEXT(Table1[[#This Row],[Date]],"dddd")</f>
        <v>Wednesday</v>
      </c>
      <c r="L958" t="str">
        <f>TEXT(Table1[[#This Row],[Date]],"mmm-yyyy")</f>
        <v>Oct-2023</v>
      </c>
      <c r="M958">
        <f>HOUR(Table1[[#This Row],[Time]])</f>
        <v>5</v>
      </c>
    </row>
    <row r="959" spans="1:13" x14ac:dyDescent="0.3">
      <c r="A959">
        <v>1958</v>
      </c>
      <c r="B959" s="3">
        <v>45217.532110092594</v>
      </c>
      <c r="C959" s="1">
        <v>45217.532110092594</v>
      </c>
      <c r="D959" t="s">
        <v>313</v>
      </c>
      <c r="E959" t="s">
        <v>10</v>
      </c>
      <c r="F959" t="s">
        <v>18</v>
      </c>
      <c r="G959" t="s">
        <v>25</v>
      </c>
      <c r="H959">
        <v>5</v>
      </c>
      <c r="I959">
        <v>150</v>
      </c>
      <c r="J959">
        <v>750</v>
      </c>
      <c r="K959" t="str">
        <f>TEXT(Table1[[#This Row],[Date]],"dddd")</f>
        <v>Wednesday</v>
      </c>
      <c r="L959" t="str">
        <f>TEXT(Table1[[#This Row],[Date]],"mmm-yyyy")</f>
        <v>Oct-2023</v>
      </c>
      <c r="M959">
        <f>HOUR(Table1[[#This Row],[Time]])</f>
        <v>12</v>
      </c>
    </row>
    <row r="960" spans="1:13" x14ac:dyDescent="0.3">
      <c r="A960">
        <v>1959</v>
      </c>
      <c r="B960" s="3">
        <v>45217.835696412039</v>
      </c>
      <c r="C960" s="1">
        <v>45217.835696412039</v>
      </c>
      <c r="D960" t="s">
        <v>144</v>
      </c>
      <c r="E960" t="s">
        <v>14</v>
      </c>
      <c r="F960" t="s">
        <v>18</v>
      </c>
      <c r="G960" t="s">
        <v>56</v>
      </c>
      <c r="H960">
        <v>3</v>
      </c>
      <c r="I960">
        <v>882</v>
      </c>
      <c r="J960">
        <v>2646</v>
      </c>
      <c r="K960" t="str">
        <f>TEXT(Table1[[#This Row],[Date]],"dddd")</f>
        <v>Wednesday</v>
      </c>
      <c r="L960" t="str">
        <f>TEXT(Table1[[#This Row],[Date]],"mmm-yyyy")</f>
        <v>Oct-2023</v>
      </c>
      <c r="M960">
        <f>HOUR(Table1[[#This Row],[Time]])</f>
        <v>20</v>
      </c>
    </row>
    <row r="961" spans="1:13" x14ac:dyDescent="0.3">
      <c r="A961">
        <v>1960</v>
      </c>
      <c r="B961" s="3">
        <v>45218.139282731485</v>
      </c>
      <c r="C961" s="1">
        <v>45218.139282731485</v>
      </c>
      <c r="D961" t="s">
        <v>171</v>
      </c>
      <c r="E961" t="s">
        <v>17</v>
      </c>
      <c r="F961" t="s">
        <v>24</v>
      </c>
      <c r="G961" t="s">
        <v>35</v>
      </c>
      <c r="H961">
        <v>1</v>
      </c>
      <c r="I961">
        <v>423</v>
      </c>
      <c r="J961">
        <v>423</v>
      </c>
      <c r="K961" t="str">
        <f>TEXT(Table1[[#This Row],[Date]],"dddd")</f>
        <v>Thursday</v>
      </c>
      <c r="L961" t="str">
        <f>TEXT(Table1[[#This Row],[Date]],"mmm-yyyy")</f>
        <v>Oct-2023</v>
      </c>
      <c r="M961">
        <f>HOUR(Table1[[#This Row],[Time]])</f>
        <v>3</v>
      </c>
    </row>
    <row r="962" spans="1:13" x14ac:dyDescent="0.3">
      <c r="A962">
        <v>1961</v>
      </c>
      <c r="B962" s="3">
        <v>45218.442869062499</v>
      </c>
      <c r="C962" s="1">
        <v>45218.442869062499</v>
      </c>
      <c r="D962" t="s">
        <v>266</v>
      </c>
      <c r="E962" t="s">
        <v>17</v>
      </c>
      <c r="F962" t="s">
        <v>15</v>
      </c>
      <c r="G962" t="s">
        <v>33</v>
      </c>
      <c r="H962">
        <v>4</v>
      </c>
      <c r="I962">
        <v>888</v>
      </c>
      <c r="J962">
        <v>3552</v>
      </c>
      <c r="K962" t="str">
        <f>TEXT(Table1[[#This Row],[Date]],"dddd")</f>
        <v>Thursday</v>
      </c>
      <c r="L962" t="str">
        <f>TEXT(Table1[[#This Row],[Date]],"mmm-yyyy")</f>
        <v>Oct-2023</v>
      </c>
      <c r="M962">
        <f>HOUR(Table1[[#This Row],[Time]])</f>
        <v>10</v>
      </c>
    </row>
    <row r="963" spans="1:13" x14ac:dyDescent="0.3">
      <c r="A963">
        <v>1962</v>
      </c>
      <c r="B963" s="3">
        <v>45218.746455381945</v>
      </c>
      <c r="C963" s="1">
        <v>45218.746455381945</v>
      </c>
      <c r="D963" t="s">
        <v>38</v>
      </c>
      <c r="E963" t="s">
        <v>10</v>
      </c>
      <c r="F963" t="s">
        <v>15</v>
      </c>
      <c r="G963" t="s">
        <v>42</v>
      </c>
      <c r="H963">
        <v>2</v>
      </c>
      <c r="I963">
        <v>240</v>
      </c>
      <c r="J963">
        <v>480</v>
      </c>
      <c r="K963" t="str">
        <f>TEXT(Table1[[#This Row],[Date]],"dddd")</f>
        <v>Thursday</v>
      </c>
      <c r="L963" t="str">
        <f>TEXT(Table1[[#This Row],[Date]],"mmm-yyyy")</f>
        <v>Oct-2023</v>
      </c>
      <c r="M963">
        <f>HOUR(Table1[[#This Row],[Time]])</f>
        <v>17</v>
      </c>
    </row>
    <row r="964" spans="1:13" x14ac:dyDescent="0.3">
      <c r="A964">
        <v>1963</v>
      </c>
      <c r="B964" s="3">
        <v>45219.05004170139</v>
      </c>
      <c r="C964" s="1">
        <v>45219.05004170139</v>
      </c>
      <c r="D964" t="s">
        <v>178</v>
      </c>
      <c r="E964" t="s">
        <v>28</v>
      </c>
      <c r="F964" t="s">
        <v>11</v>
      </c>
      <c r="G964" t="s">
        <v>19</v>
      </c>
      <c r="H964">
        <v>2</v>
      </c>
      <c r="I964">
        <v>569</v>
      </c>
      <c r="J964">
        <v>1138</v>
      </c>
      <c r="K964" t="str">
        <f>TEXT(Table1[[#This Row],[Date]],"dddd")</f>
        <v>Friday</v>
      </c>
      <c r="L964" t="str">
        <f>TEXT(Table1[[#This Row],[Date]],"mmm-yyyy")</f>
        <v>Oct-2023</v>
      </c>
      <c r="M964">
        <f>HOUR(Table1[[#This Row],[Time]])</f>
        <v>1</v>
      </c>
    </row>
    <row r="965" spans="1:13" x14ac:dyDescent="0.3">
      <c r="A965">
        <v>1964</v>
      </c>
      <c r="B965" s="3">
        <v>45219.353628020835</v>
      </c>
      <c r="C965" s="1">
        <v>45219.353628020835</v>
      </c>
      <c r="D965" t="s">
        <v>62</v>
      </c>
      <c r="E965" t="s">
        <v>17</v>
      </c>
      <c r="F965" t="s">
        <v>39</v>
      </c>
      <c r="G965" t="s">
        <v>33</v>
      </c>
      <c r="H965">
        <v>5</v>
      </c>
      <c r="I965">
        <v>886</v>
      </c>
      <c r="J965">
        <v>4430</v>
      </c>
      <c r="K965" t="str">
        <f>TEXT(Table1[[#This Row],[Date]],"dddd")</f>
        <v>Friday</v>
      </c>
      <c r="L965" t="str">
        <f>TEXT(Table1[[#This Row],[Date]],"mmm-yyyy")</f>
        <v>Oct-2023</v>
      </c>
      <c r="M965">
        <f>HOUR(Table1[[#This Row],[Time]])</f>
        <v>8</v>
      </c>
    </row>
    <row r="966" spans="1:13" x14ac:dyDescent="0.3">
      <c r="A966">
        <v>1965</v>
      </c>
      <c r="B966" s="3">
        <v>45219.657214340281</v>
      </c>
      <c r="C966" s="1">
        <v>45219.657214340281</v>
      </c>
      <c r="D966" t="s">
        <v>273</v>
      </c>
      <c r="E966" t="s">
        <v>28</v>
      </c>
      <c r="F966" t="s">
        <v>39</v>
      </c>
      <c r="G966" t="s">
        <v>19</v>
      </c>
      <c r="H966">
        <v>3</v>
      </c>
      <c r="I966">
        <v>901</v>
      </c>
      <c r="J966">
        <v>2703</v>
      </c>
      <c r="K966" t="str">
        <f>TEXT(Table1[[#This Row],[Date]],"dddd")</f>
        <v>Friday</v>
      </c>
      <c r="L966" t="str">
        <f>TEXT(Table1[[#This Row],[Date]],"mmm-yyyy")</f>
        <v>Oct-2023</v>
      </c>
      <c r="M966">
        <f>HOUR(Table1[[#This Row],[Time]])</f>
        <v>15</v>
      </c>
    </row>
    <row r="967" spans="1:13" x14ac:dyDescent="0.3">
      <c r="A967">
        <v>1966</v>
      </c>
      <c r="B967" s="3">
        <v>45219.960800671295</v>
      </c>
      <c r="C967" s="1">
        <v>45219.960800671295</v>
      </c>
      <c r="D967" t="s">
        <v>172</v>
      </c>
      <c r="E967" t="s">
        <v>17</v>
      </c>
      <c r="F967" t="s">
        <v>24</v>
      </c>
      <c r="G967" t="s">
        <v>22</v>
      </c>
      <c r="H967">
        <v>2</v>
      </c>
      <c r="I967">
        <v>433</v>
      </c>
      <c r="J967">
        <v>866</v>
      </c>
      <c r="K967" t="str">
        <f>TEXT(Table1[[#This Row],[Date]],"dddd")</f>
        <v>Friday</v>
      </c>
      <c r="L967" t="str">
        <f>TEXT(Table1[[#This Row],[Date]],"mmm-yyyy")</f>
        <v>Oct-2023</v>
      </c>
      <c r="M967">
        <f>HOUR(Table1[[#This Row],[Time]])</f>
        <v>23</v>
      </c>
    </row>
    <row r="968" spans="1:13" x14ac:dyDescent="0.3">
      <c r="A968">
        <v>1967</v>
      </c>
      <c r="B968" s="3">
        <v>45220.264386990741</v>
      </c>
      <c r="C968" s="1">
        <v>45220.264386990741</v>
      </c>
      <c r="D968" t="s">
        <v>120</v>
      </c>
      <c r="E968" t="s">
        <v>17</v>
      </c>
      <c r="F968" t="s">
        <v>24</v>
      </c>
      <c r="G968" t="s">
        <v>42</v>
      </c>
      <c r="H968">
        <v>1</v>
      </c>
      <c r="I968">
        <v>992</v>
      </c>
      <c r="J968">
        <v>992</v>
      </c>
      <c r="K968" t="str">
        <f>TEXT(Table1[[#This Row],[Date]],"dddd")</f>
        <v>Saturday</v>
      </c>
      <c r="L968" t="str">
        <f>TEXT(Table1[[#This Row],[Date]],"mmm-yyyy")</f>
        <v>Oct-2023</v>
      </c>
      <c r="M968">
        <f>HOUR(Table1[[#This Row],[Time]])</f>
        <v>6</v>
      </c>
    </row>
    <row r="969" spans="1:13" x14ac:dyDescent="0.3">
      <c r="A969">
        <v>1968</v>
      </c>
      <c r="B969" s="3">
        <v>45220.567973310186</v>
      </c>
      <c r="C969" s="1">
        <v>45220.567973310186</v>
      </c>
      <c r="D969" t="s">
        <v>119</v>
      </c>
      <c r="E969" t="s">
        <v>14</v>
      </c>
      <c r="F969" t="s">
        <v>24</v>
      </c>
      <c r="G969" t="s">
        <v>33</v>
      </c>
      <c r="H969">
        <v>5</v>
      </c>
      <c r="I969">
        <v>472</v>
      </c>
      <c r="J969">
        <v>2360</v>
      </c>
      <c r="K969" t="str">
        <f>TEXT(Table1[[#This Row],[Date]],"dddd")</f>
        <v>Saturday</v>
      </c>
      <c r="L969" t="str">
        <f>TEXT(Table1[[#This Row],[Date]],"mmm-yyyy")</f>
        <v>Oct-2023</v>
      </c>
      <c r="M969">
        <f>HOUR(Table1[[#This Row],[Time]])</f>
        <v>13</v>
      </c>
    </row>
    <row r="970" spans="1:13" x14ac:dyDescent="0.3">
      <c r="A970">
        <v>1969</v>
      </c>
      <c r="B970" s="3">
        <v>45220.871559629632</v>
      </c>
      <c r="C970" s="1">
        <v>45220.871559629632</v>
      </c>
      <c r="D970" t="s">
        <v>280</v>
      </c>
      <c r="E970" t="s">
        <v>28</v>
      </c>
      <c r="F970" t="s">
        <v>15</v>
      </c>
      <c r="G970" t="s">
        <v>19</v>
      </c>
      <c r="H970">
        <v>4</v>
      </c>
      <c r="I970">
        <v>663</v>
      </c>
      <c r="J970">
        <v>2652</v>
      </c>
      <c r="K970" t="str">
        <f>TEXT(Table1[[#This Row],[Date]],"dddd")</f>
        <v>Saturday</v>
      </c>
      <c r="L970" t="str">
        <f>TEXT(Table1[[#This Row],[Date]],"mmm-yyyy")</f>
        <v>Oct-2023</v>
      </c>
      <c r="M970">
        <f>HOUR(Table1[[#This Row],[Time]])</f>
        <v>20</v>
      </c>
    </row>
    <row r="971" spans="1:13" x14ac:dyDescent="0.3">
      <c r="A971">
        <v>1970</v>
      </c>
      <c r="B971" s="3">
        <v>45221.175145960646</v>
      </c>
      <c r="C971" s="1">
        <v>45221.175145960646</v>
      </c>
      <c r="D971" t="s">
        <v>267</v>
      </c>
      <c r="E971" t="s">
        <v>17</v>
      </c>
      <c r="F971" t="s">
        <v>18</v>
      </c>
      <c r="G971" t="s">
        <v>29</v>
      </c>
      <c r="H971">
        <v>5</v>
      </c>
      <c r="I971">
        <v>593</v>
      </c>
      <c r="J971">
        <v>2965</v>
      </c>
      <c r="K971" t="str">
        <f>TEXT(Table1[[#This Row],[Date]],"dddd")</f>
        <v>Sunday</v>
      </c>
      <c r="L971" t="str">
        <f>TEXT(Table1[[#This Row],[Date]],"mmm-yyyy")</f>
        <v>Oct-2023</v>
      </c>
      <c r="M971">
        <f>HOUR(Table1[[#This Row],[Time]])</f>
        <v>4</v>
      </c>
    </row>
    <row r="972" spans="1:13" x14ac:dyDescent="0.3">
      <c r="A972">
        <v>1971</v>
      </c>
      <c r="B972" s="3">
        <v>45221.478732280091</v>
      </c>
      <c r="C972" s="1">
        <v>45221.478732280091</v>
      </c>
      <c r="D972" t="s">
        <v>231</v>
      </c>
      <c r="E972" t="s">
        <v>14</v>
      </c>
      <c r="F972" t="s">
        <v>18</v>
      </c>
      <c r="G972" t="s">
        <v>25</v>
      </c>
      <c r="H972">
        <v>4</v>
      </c>
      <c r="I972">
        <v>638</v>
      </c>
      <c r="J972">
        <v>2552</v>
      </c>
      <c r="K972" t="str">
        <f>TEXT(Table1[[#This Row],[Date]],"dddd")</f>
        <v>Sunday</v>
      </c>
      <c r="L972" t="str">
        <f>TEXT(Table1[[#This Row],[Date]],"mmm-yyyy")</f>
        <v>Oct-2023</v>
      </c>
      <c r="M972">
        <f>HOUR(Table1[[#This Row],[Time]])</f>
        <v>11</v>
      </c>
    </row>
    <row r="973" spans="1:13" x14ac:dyDescent="0.3">
      <c r="A973">
        <v>1972</v>
      </c>
      <c r="B973" s="3">
        <v>45221.782318599537</v>
      </c>
      <c r="C973" s="1">
        <v>45221.782318599537</v>
      </c>
      <c r="D973" t="s">
        <v>150</v>
      </c>
      <c r="E973" t="s">
        <v>17</v>
      </c>
      <c r="F973" t="s">
        <v>11</v>
      </c>
      <c r="G973" t="s">
        <v>19</v>
      </c>
      <c r="H973">
        <v>5</v>
      </c>
      <c r="I973">
        <v>768</v>
      </c>
      <c r="J973">
        <v>3840</v>
      </c>
      <c r="K973" t="str">
        <f>TEXT(Table1[[#This Row],[Date]],"dddd")</f>
        <v>Sunday</v>
      </c>
      <c r="L973" t="str">
        <f>TEXT(Table1[[#This Row],[Date]],"mmm-yyyy")</f>
        <v>Oct-2023</v>
      </c>
      <c r="M973">
        <f>HOUR(Table1[[#This Row],[Time]])</f>
        <v>18</v>
      </c>
    </row>
    <row r="974" spans="1:13" x14ac:dyDescent="0.3">
      <c r="A974">
        <v>1973</v>
      </c>
      <c r="B974" s="3">
        <v>45222.085904918982</v>
      </c>
      <c r="C974" s="1">
        <v>45222.085904918982</v>
      </c>
      <c r="D974" t="s">
        <v>201</v>
      </c>
      <c r="E974" t="s">
        <v>14</v>
      </c>
      <c r="F974" t="s">
        <v>39</v>
      </c>
      <c r="G974" t="s">
        <v>22</v>
      </c>
      <c r="H974">
        <v>5</v>
      </c>
      <c r="I974">
        <v>850</v>
      </c>
      <c r="J974">
        <v>4250</v>
      </c>
      <c r="K974" t="str">
        <f>TEXT(Table1[[#This Row],[Date]],"dddd")</f>
        <v>Monday</v>
      </c>
      <c r="L974" t="str">
        <f>TEXT(Table1[[#This Row],[Date]],"mmm-yyyy")</f>
        <v>Oct-2023</v>
      </c>
      <c r="M974">
        <f>HOUR(Table1[[#This Row],[Time]])</f>
        <v>2</v>
      </c>
    </row>
    <row r="975" spans="1:13" x14ac:dyDescent="0.3">
      <c r="A975">
        <v>1974</v>
      </c>
      <c r="B975" s="3">
        <v>45222.389491238428</v>
      </c>
      <c r="C975" s="1">
        <v>45222.389491238428</v>
      </c>
      <c r="D975" t="s">
        <v>166</v>
      </c>
      <c r="E975" t="s">
        <v>14</v>
      </c>
      <c r="F975" t="s">
        <v>39</v>
      </c>
      <c r="G975" t="s">
        <v>35</v>
      </c>
      <c r="H975">
        <v>5</v>
      </c>
      <c r="I975">
        <v>255</v>
      </c>
      <c r="J975">
        <v>1275</v>
      </c>
      <c r="K975" t="str">
        <f>TEXT(Table1[[#This Row],[Date]],"dddd")</f>
        <v>Monday</v>
      </c>
      <c r="L975" t="str">
        <f>TEXT(Table1[[#This Row],[Date]],"mmm-yyyy")</f>
        <v>Oct-2023</v>
      </c>
      <c r="M975">
        <f>HOUR(Table1[[#This Row],[Time]])</f>
        <v>9</v>
      </c>
    </row>
    <row r="976" spans="1:13" x14ac:dyDescent="0.3">
      <c r="A976">
        <v>1975</v>
      </c>
      <c r="B976" s="3">
        <v>45222.693077569442</v>
      </c>
      <c r="C976" s="1">
        <v>45222.693077569442</v>
      </c>
      <c r="D976" t="s">
        <v>77</v>
      </c>
      <c r="E976" t="s">
        <v>28</v>
      </c>
      <c r="F976" t="s">
        <v>11</v>
      </c>
      <c r="G976" t="s">
        <v>35</v>
      </c>
      <c r="H976">
        <v>4</v>
      </c>
      <c r="I976">
        <v>390</v>
      </c>
      <c r="J976">
        <v>1560</v>
      </c>
      <c r="K976" t="str">
        <f>TEXT(Table1[[#This Row],[Date]],"dddd")</f>
        <v>Monday</v>
      </c>
      <c r="L976" t="str">
        <f>TEXT(Table1[[#This Row],[Date]],"mmm-yyyy")</f>
        <v>Oct-2023</v>
      </c>
      <c r="M976">
        <f>HOUR(Table1[[#This Row],[Time]])</f>
        <v>16</v>
      </c>
    </row>
    <row r="977" spans="1:13" x14ac:dyDescent="0.3">
      <c r="A977">
        <v>1976</v>
      </c>
      <c r="B977" s="3">
        <v>45222.996663888887</v>
      </c>
      <c r="C977" s="1">
        <v>45222.996663888887</v>
      </c>
      <c r="D977" t="s">
        <v>277</v>
      </c>
      <c r="E977" t="s">
        <v>14</v>
      </c>
      <c r="F977" t="s">
        <v>15</v>
      </c>
      <c r="G977" t="s">
        <v>40</v>
      </c>
      <c r="H977">
        <v>4</v>
      </c>
      <c r="I977">
        <v>747</v>
      </c>
      <c r="J977">
        <v>2988</v>
      </c>
      <c r="K977" t="str">
        <f>TEXT(Table1[[#This Row],[Date]],"dddd")</f>
        <v>Monday</v>
      </c>
      <c r="L977" t="str">
        <f>TEXT(Table1[[#This Row],[Date]],"mmm-yyyy")</f>
        <v>Oct-2023</v>
      </c>
      <c r="M977">
        <f>HOUR(Table1[[#This Row],[Time]])</f>
        <v>23</v>
      </c>
    </row>
    <row r="978" spans="1:13" x14ac:dyDescent="0.3">
      <c r="A978">
        <v>1977</v>
      </c>
      <c r="B978" s="3">
        <v>45223.300250208333</v>
      </c>
      <c r="C978" s="1">
        <v>45223.300250208333</v>
      </c>
      <c r="D978" t="s">
        <v>77</v>
      </c>
      <c r="E978" t="s">
        <v>17</v>
      </c>
      <c r="F978" t="s">
        <v>18</v>
      </c>
      <c r="G978" t="s">
        <v>19</v>
      </c>
      <c r="H978">
        <v>5</v>
      </c>
      <c r="I978">
        <v>243</v>
      </c>
      <c r="J978">
        <v>1215</v>
      </c>
      <c r="K978" t="str">
        <f>TEXT(Table1[[#This Row],[Date]],"dddd")</f>
        <v>Tuesday</v>
      </c>
      <c r="L978" t="str">
        <f>TEXT(Table1[[#This Row],[Date]],"mmm-yyyy")</f>
        <v>Oct-2023</v>
      </c>
      <c r="M978">
        <f>HOUR(Table1[[#This Row],[Time]])</f>
        <v>7</v>
      </c>
    </row>
    <row r="979" spans="1:13" x14ac:dyDescent="0.3">
      <c r="A979">
        <v>1978</v>
      </c>
      <c r="B979" s="3">
        <v>45223.603836527778</v>
      </c>
      <c r="C979" s="1">
        <v>45223.603836527778</v>
      </c>
      <c r="D979" t="s">
        <v>316</v>
      </c>
      <c r="E979" t="s">
        <v>10</v>
      </c>
      <c r="F979" t="s">
        <v>24</v>
      </c>
      <c r="G979" t="s">
        <v>56</v>
      </c>
      <c r="H979">
        <v>2</v>
      </c>
      <c r="I979">
        <v>205</v>
      </c>
      <c r="J979">
        <v>410</v>
      </c>
      <c r="K979" t="str">
        <f>TEXT(Table1[[#This Row],[Date]],"dddd")</f>
        <v>Tuesday</v>
      </c>
      <c r="L979" t="str">
        <f>TEXT(Table1[[#This Row],[Date]],"mmm-yyyy")</f>
        <v>Oct-2023</v>
      </c>
      <c r="M979">
        <f>HOUR(Table1[[#This Row],[Time]])</f>
        <v>14</v>
      </c>
    </row>
    <row r="980" spans="1:13" x14ac:dyDescent="0.3">
      <c r="A980">
        <v>1979</v>
      </c>
      <c r="B980" s="3">
        <v>45223.907422847224</v>
      </c>
      <c r="C980" s="1">
        <v>45223.907422847224</v>
      </c>
      <c r="D980" t="s">
        <v>262</v>
      </c>
      <c r="E980" t="s">
        <v>17</v>
      </c>
      <c r="F980" t="s">
        <v>18</v>
      </c>
      <c r="G980" t="s">
        <v>12</v>
      </c>
      <c r="H980">
        <v>3</v>
      </c>
      <c r="I980">
        <v>519</v>
      </c>
      <c r="J980">
        <v>1557</v>
      </c>
      <c r="K980" t="str">
        <f>TEXT(Table1[[#This Row],[Date]],"dddd")</f>
        <v>Tuesday</v>
      </c>
      <c r="L980" t="str">
        <f>TEXT(Table1[[#This Row],[Date]],"mmm-yyyy")</f>
        <v>Oct-2023</v>
      </c>
      <c r="M980">
        <f>HOUR(Table1[[#This Row],[Time]])</f>
        <v>21</v>
      </c>
    </row>
    <row r="981" spans="1:13" x14ac:dyDescent="0.3">
      <c r="A981">
        <v>1980</v>
      </c>
      <c r="B981" s="3">
        <v>45224.211009178238</v>
      </c>
      <c r="C981" s="1">
        <v>45224.211009178238</v>
      </c>
      <c r="D981" t="s">
        <v>189</v>
      </c>
      <c r="E981" t="s">
        <v>17</v>
      </c>
      <c r="F981" t="s">
        <v>11</v>
      </c>
      <c r="G981" t="s">
        <v>25</v>
      </c>
      <c r="H981">
        <v>3</v>
      </c>
      <c r="I981">
        <v>769</v>
      </c>
      <c r="J981">
        <v>2307</v>
      </c>
      <c r="K981" t="str">
        <f>TEXT(Table1[[#This Row],[Date]],"dddd")</f>
        <v>Wednesday</v>
      </c>
      <c r="L981" t="str">
        <f>TEXT(Table1[[#This Row],[Date]],"mmm-yyyy")</f>
        <v>Oct-2023</v>
      </c>
      <c r="M981">
        <f>HOUR(Table1[[#This Row],[Time]])</f>
        <v>5</v>
      </c>
    </row>
    <row r="982" spans="1:13" x14ac:dyDescent="0.3">
      <c r="A982">
        <v>1981</v>
      </c>
      <c r="B982" s="3">
        <v>45224.514595497683</v>
      </c>
      <c r="C982" s="1">
        <v>45224.514595497683</v>
      </c>
      <c r="D982" t="s">
        <v>103</v>
      </c>
      <c r="E982" t="s">
        <v>14</v>
      </c>
      <c r="F982" t="s">
        <v>18</v>
      </c>
      <c r="G982" t="s">
        <v>29</v>
      </c>
      <c r="H982">
        <v>3</v>
      </c>
      <c r="I982">
        <v>757</v>
      </c>
      <c r="J982">
        <v>2271</v>
      </c>
      <c r="K982" t="str">
        <f>TEXT(Table1[[#This Row],[Date]],"dddd")</f>
        <v>Wednesday</v>
      </c>
      <c r="L982" t="str">
        <f>TEXT(Table1[[#This Row],[Date]],"mmm-yyyy")</f>
        <v>Oct-2023</v>
      </c>
      <c r="M982">
        <f>HOUR(Table1[[#This Row],[Time]])</f>
        <v>12</v>
      </c>
    </row>
    <row r="983" spans="1:13" x14ac:dyDescent="0.3">
      <c r="A983">
        <v>1982</v>
      </c>
      <c r="B983" s="3">
        <v>45224.818181817129</v>
      </c>
      <c r="C983" s="1">
        <v>45224.818181817129</v>
      </c>
      <c r="D983" t="s">
        <v>251</v>
      </c>
      <c r="E983" t="s">
        <v>17</v>
      </c>
      <c r="F983" t="s">
        <v>24</v>
      </c>
      <c r="G983" t="s">
        <v>40</v>
      </c>
      <c r="H983">
        <v>4</v>
      </c>
      <c r="I983">
        <v>101</v>
      </c>
      <c r="J983">
        <v>404</v>
      </c>
      <c r="K983" t="str">
        <f>TEXT(Table1[[#This Row],[Date]],"dddd")</f>
        <v>Wednesday</v>
      </c>
      <c r="L983" t="str">
        <f>TEXT(Table1[[#This Row],[Date]],"mmm-yyyy")</f>
        <v>Oct-2023</v>
      </c>
      <c r="M983">
        <f>HOUR(Table1[[#This Row],[Time]])</f>
        <v>19</v>
      </c>
    </row>
    <row r="984" spans="1:13" x14ac:dyDescent="0.3">
      <c r="A984">
        <v>1983</v>
      </c>
      <c r="B984" s="3">
        <v>45225.121768136574</v>
      </c>
      <c r="C984" s="1">
        <v>45225.121768136574</v>
      </c>
      <c r="D984" t="s">
        <v>53</v>
      </c>
      <c r="E984" t="s">
        <v>14</v>
      </c>
      <c r="F984" t="s">
        <v>39</v>
      </c>
      <c r="G984" t="s">
        <v>12</v>
      </c>
      <c r="H984">
        <v>4</v>
      </c>
      <c r="I984">
        <v>688</v>
      </c>
      <c r="J984">
        <v>2752</v>
      </c>
      <c r="K984" t="str">
        <f>TEXT(Table1[[#This Row],[Date]],"dddd")</f>
        <v>Thursday</v>
      </c>
      <c r="L984" t="str">
        <f>TEXT(Table1[[#This Row],[Date]],"mmm-yyyy")</f>
        <v>Oct-2023</v>
      </c>
      <c r="M984">
        <f>HOUR(Table1[[#This Row],[Time]])</f>
        <v>2</v>
      </c>
    </row>
    <row r="985" spans="1:13" x14ac:dyDescent="0.3">
      <c r="A985">
        <v>1984</v>
      </c>
      <c r="B985" s="3">
        <v>45225.425354467596</v>
      </c>
      <c r="C985" s="1">
        <v>45225.425354467596</v>
      </c>
      <c r="D985" t="s">
        <v>186</v>
      </c>
      <c r="E985" t="s">
        <v>28</v>
      </c>
      <c r="F985" t="s">
        <v>11</v>
      </c>
      <c r="G985" t="s">
        <v>35</v>
      </c>
      <c r="H985">
        <v>2</v>
      </c>
      <c r="I985">
        <v>743</v>
      </c>
      <c r="J985">
        <v>1486</v>
      </c>
      <c r="K985" t="str">
        <f>TEXT(Table1[[#This Row],[Date]],"dddd")</f>
        <v>Thursday</v>
      </c>
      <c r="L985" t="str">
        <f>TEXT(Table1[[#This Row],[Date]],"mmm-yyyy")</f>
        <v>Oct-2023</v>
      </c>
      <c r="M985">
        <f>HOUR(Table1[[#This Row],[Time]])</f>
        <v>10</v>
      </c>
    </row>
    <row r="986" spans="1:13" x14ac:dyDescent="0.3">
      <c r="A986">
        <v>1985</v>
      </c>
      <c r="B986" s="3">
        <v>45225.728940787034</v>
      </c>
      <c r="C986" s="1">
        <v>45225.728940787034</v>
      </c>
      <c r="D986" t="s">
        <v>238</v>
      </c>
      <c r="E986" t="s">
        <v>14</v>
      </c>
      <c r="F986" t="s">
        <v>15</v>
      </c>
      <c r="G986" t="s">
        <v>33</v>
      </c>
      <c r="H986">
        <v>3</v>
      </c>
      <c r="I986">
        <v>189</v>
      </c>
      <c r="J986">
        <v>567</v>
      </c>
      <c r="K986" t="str">
        <f>TEXT(Table1[[#This Row],[Date]],"dddd")</f>
        <v>Thursday</v>
      </c>
      <c r="L986" t="str">
        <f>TEXT(Table1[[#This Row],[Date]],"mmm-yyyy")</f>
        <v>Oct-2023</v>
      </c>
      <c r="M986">
        <f>HOUR(Table1[[#This Row],[Time]])</f>
        <v>17</v>
      </c>
    </row>
    <row r="987" spans="1:13" x14ac:dyDescent="0.3">
      <c r="A987">
        <v>1986</v>
      </c>
      <c r="B987" s="3">
        <v>45226.032527106479</v>
      </c>
      <c r="C987" s="1">
        <v>45226.032527106479</v>
      </c>
      <c r="D987" t="s">
        <v>61</v>
      </c>
      <c r="E987" t="s">
        <v>28</v>
      </c>
      <c r="F987" t="s">
        <v>18</v>
      </c>
      <c r="G987" t="s">
        <v>19</v>
      </c>
      <c r="H987">
        <v>3</v>
      </c>
      <c r="I987">
        <v>444</v>
      </c>
      <c r="J987">
        <v>1332</v>
      </c>
      <c r="K987" t="str">
        <f>TEXT(Table1[[#This Row],[Date]],"dddd")</f>
        <v>Friday</v>
      </c>
      <c r="L987" t="str">
        <f>TEXT(Table1[[#This Row],[Date]],"mmm-yyyy")</f>
        <v>Oct-2023</v>
      </c>
      <c r="M987">
        <f>HOUR(Table1[[#This Row],[Time]])</f>
        <v>0</v>
      </c>
    </row>
    <row r="988" spans="1:13" x14ac:dyDescent="0.3">
      <c r="A988">
        <v>1987</v>
      </c>
      <c r="B988" s="3">
        <v>45226.336113425925</v>
      </c>
      <c r="C988" s="1">
        <v>45226.336113425925</v>
      </c>
      <c r="D988" t="s">
        <v>162</v>
      </c>
      <c r="E988" t="s">
        <v>10</v>
      </c>
      <c r="F988" t="s">
        <v>18</v>
      </c>
      <c r="G988" t="s">
        <v>12</v>
      </c>
      <c r="H988">
        <v>5</v>
      </c>
      <c r="I988">
        <v>449</v>
      </c>
      <c r="J988">
        <v>2245</v>
      </c>
      <c r="K988" t="str">
        <f>TEXT(Table1[[#This Row],[Date]],"dddd")</f>
        <v>Friday</v>
      </c>
      <c r="L988" t="str">
        <f>TEXT(Table1[[#This Row],[Date]],"mmm-yyyy")</f>
        <v>Oct-2023</v>
      </c>
      <c r="M988">
        <f>HOUR(Table1[[#This Row],[Time]])</f>
        <v>8</v>
      </c>
    </row>
    <row r="989" spans="1:13" x14ac:dyDescent="0.3">
      <c r="A989">
        <v>1988</v>
      </c>
      <c r="B989" s="3">
        <v>45226.63969974537</v>
      </c>
      <c r="C989" s="1">
        <v>45226.63969974537</v>
      </c>
      <c r="D989" t="s">
        <v>291</v>
      </c>
      <c r="E989" t="s">
        <v>17</v>
      </c>
      <c r="F989" t="s">
        <v>15</v>
      </c>
      <c r="G989" t="s">
        <v>29</v>
      </c>
      <c r="H989">
        <v>4</v>
      </c>
      <c r="I989">
        <v>558</v>
      </c>
      <c r="J989">
        <v>2232</v>
      </c>
      <c r="K989" t="str">
        <f>TEXT(Table1[[#This Row],[Date]],"dddd")</f>
        <v>Friday</v>
      </c>
      <c r="L989" t="str">
        <f>TEXT(Table1[[#This Row],[Date]],"mmm-yyyy")</f>
        <v>Oct-2023</v>
      </c>
      <c r="M989">
        <f>HOUR(Table1[[#This Row],[Time]])</f>
        <v>15</v>
      </c>
    </row>
    <row r="990" spans="1:13" x14ac:dyDescent="0.3">
      <c r="A990">
        <v>1989</v>
      </c>
      <c r="B990" s="3">
        <v>45226.943286076392</v>
      </c>
      <c r="C990" s="1">
        <v>45226.943286076392</v>
      </c>
      <c r="D990" t="s">
        <v>202</v>
      </c>
      <c r="E990" t="s">
        <v>28</v>
      </c>
      <c r="F990" t="s">
        <v>15</v>
      </c>
      <c r="G990" t="s">
        <v>42</v>
      </c>
      <c r="H990">
        <v>3</v>
      </c>
      <c r="I990">
        <v>362</v>
      </c>
      <c r="J990">
        <v>1086</v>
      </c>
      <c r="K990" t="str">
        <f>TEXT(Table1[[#This Row],[Date]],"dddd")</f>
        <v>Friday</v>
      </c>
      <c r="L990" t="str">
        <f>TEXT(Table1[[#This Row],[Date]],"mmm-yyyy")</f>
        <v>Oct-2023</v>
      </c>
      <c r="M990">
        <f>HOUR(Table1[[#This Row],[Time]])</f>
        <v>22</v>
      </c>
    </row>
    <row r="991" spans="1:13" x14ac:dyDescent="0.3">
      <c r="A991">
        <v>1990</v>
      </c>
      <c r="B991" s="3">
        <v>45227.24687239583</v>
      </c>
      <c r="C991" s="1">
        <v>45227.24687239583</v>
      </c>
      <c r="D991" t="s">
        <v>242</v>
      </c>
      <c r="E991" t="s">
        <v>10</v>
      </c>
      <c r="F991" t="s">
        <v>24</v>
      </c>
      <c r="G991" t="s">
        <v>42</v>
      </c>
      <c r="H991">
        <v>2</v>
      </c>
      <c r="I991">
        <v>450</v>
      </c>
      <c r="J991">
        <v>900</v>
      </c>
      <c r="K991" t="str">
        <f>TEXT(Table1[[#This Row],[Date]],"dddd")</f>
        <v>Saturday</v>
      </c>
      <c r="L991" t="str">
        <f>TEXT(Table1[[#This Row],[Date]],"mmm-yyyy")</f>
        <v>Oct-2023</v>
      </c>
      <c r="M991">
        <f>HOUR(Table1[[#This Row],[Time]])</f>
        <v>5</v>
      </c>
    </row>
    <row r="992" spans="1:13" x14ac:dyDescent="0.3">
      <c r="A992">
        <v>1991</v>
      </c>
      <c r="B992" s="3">
        <v>45227.550458715275</v>
      </c>
      <c r="C992" s="1">
        <v>45227.550458715275</v>
      </c>
      <c r="D992" t="s">
        <v>87</v>
      </c>
      <c r="E992" t="s">
        <v>14</v>
      </c>
      <c r="F992" t="s">
        <v>18</v>
      </c>
      <c r="G992" t="s">
        <v>35</v>
      </c>
      <c r="H992">
        <v>2</v>
      </c>
      <c r="I992">
        <v>207</v>
      </c>
      <c r="J992">
        <v>414</v>
      </c>
      <c r="K992" t="str">
        <f>TEXT(Table1[[#This Row],[Date]],"dddd")</f>
        <v>Saturday</v>
      </c>
      <c r="L992" t="str">
        <f>TEXT(Table1[[#This Row],[Date]],"mmm-yyyy")</f>
        <v>Oct-2023</v>
      </c>
      <c r="M992">
        <f>HOUR(Table1[[#This Row],[Time]])</f>
        <v>13</v>
      </c>
    </row>
    <row r="993" spans="1:13" x14ac:dyDescent="0.3">
      <c r="A993">
        <v>1992</v>
      </c>
      <c r="B993" s="3">
        <v>45227.854045034721</v>
      </c>
      <c r="C993" s="1">
        <v>45227.854045034721</v>
      </c>
      <c r="D993" t="s">
        <v>57</v>
      </c>
      <c r="E993" t="s">
        <v>10</v>
      </c>
      <c r="F993" t="s">
        <v>11</v>
      </c>
      <c r="G993" t="s">
        <v>33</v>
      </c>
      <c r="H993">
        <v>3</v>
      </c>
      <c r="I993">
        <v>685</v>
      </c>
      <c r="J993">
        <v>2055</v>
      </c>
      <c r="K993" t="str">
        <f>TEXT(Table1[[#This Row],[Date]],"dddd")</f>
        <v>Saturday</v>
      </c>
      <c r="L993" t="str">
        <f>TEXT(Table1[[#This Row],[Date]],"mmm-yyyy")</f>
        <v>Oct-2023</v>
      </c>
      <c r="M993">
        <f>HOUR(Table1[[#This Row],[Time]])</f>
        <v>20</v>
      </c>
    </row>
    <row r="994" spans="1:13" x14ac:dyDescent="0.3">
      <c r="A994">
        <v>1993</v>
      </c>
      <c r="B994" s="3">
        <v>45228.157631354166</v>
      </c>
      <c r="C994" s="1">
        <v>45228.157631354166</v>
      </c>
      <c r="D994" t="s">
        <v>273</v>
      </c>
      <c r="E994" t="s">
        <v>28</v>
      </c>
      <c r="F994" t="s">
        <v>18</v>
      </c>
      <c r="G994" t="s">
        <v>40</v>
      </c>
      <c r="H994">
        <v>4</v>
      </c>
      <c r="I994">
        <v>138</v>
      </c>
      <c r="J994">
        <v>552</v>
      </c>
      <c r="K994" t="str">
        <f>TEXT(Table1[[#This Row],[Date]],"dddd")</f>
        <v>Sunday</v>
      </c>
      <c r="L994" t="str">
        <f>TEXT(Table1[[#This Row],[Date]],"mmm-yyyy")</f>
        <v>Oct-2023</v>
      </c>
      <c r="M994">
        <f>HOUR(Table1[[#This Row],[Time]])</f>
        <v>3</v>
      </c>
    </row>
    <row r="995" spans="1:13" x14ac:dyDescent="0.3">
      <c r="A995">
        <v>1994</v>
      </c>
      <c r="B995" s="3">
        <v>45228.461217685188</v>
      </c>
      <c r="C995" s="1">
        <v>45228.461217685188</v>
      </c>
      <c r="D995" t="s">
        <v>195</v>
      </c>
      <c r="E995" t="s">
        <v>17</v>
      </c>
      <c r="F995" t="s">
        <v>24</v>
      </c>
      <c r="G995" t="s">
        <v>33</v>
      </c>
      <c r="H995">
        <v>2</v>
      </c>
      <c r="I995">
        <v>258</v>
      </c>
      <c r="J995">
        <v>516</v>
      </c>
      <c r="K995" t="str">
        <f>TEXT(Table1[[#This Row],[Date]],"dddd")</f>
        <v>Sunday</v>
      </c>
      <c r="L995" t="str">
        <f>TEXT(Table1[[#This Row],[Date]],"mmm-yyyy")</f>
        <v>Oct-2023</v>
      </c>
      <c r="M995">
        <f>HOUR(Table1[[#This Row],[Time]])</f>
        <v>11</v>
      </c>
    </row>
    <row r="996" spans="1:13" x14ac:dyDescent="0.3">
      <c r="A996">
        <v>1995</v>
      </c>
      <c r="B996" s="3">
        <v>45228.764804004626</v>
      </c>
      <c r="C996" s="1">
        <v>45228.764804004626</v>
      </c>
      <c r="D996" t="s">
        <v>198</v>
      </c>
      <c r="E996" t="s">
        <v>10</v>
      </c>
      <c r="F996" t="s">
        <v>11</v>
      </c>
      <c r="G996" t="s">
        <v>42</v>
      </c>
      <c r="H996">
        <v>5</v>
      </c>
      <c r="I996">
        <v>682</v>
      </c>
      <c r="J996">
        <v>3410</v>
      </c>
      <c r="K996" t="str">
        <f>TEXT(Table1[[#This Row],[Date]],"dddd")</f>
        <v>Sunday</v>
      </c>
      <c r="L996" t="str">
        <f>TEXT(Table1[[#This Row],[Date]],"mmm-yyyy")</f>
        <v>Oct-2023</v>
      </c>
      <c r="M996">
        <f>HOUR(Table1[[#This Row],[Time]])</f>
        <v>18</v>
      </c>
    </row>
    <row r="997" spans="1:13" x14ac:dyDescent="0.3">
      <c r="A997">
        <v>1996</v>
      </c>
      <c r="B997" s="3">
        <v>45229.068390324072</v>
      </c>
      <c r="C997" s="1">
        <v>45229.068390324072</v>
      </c>
      <c r="D997" t="s">
        <v>231</v>
      </c>
      <c r="E997" t="s">
        <v>10</v>
      </c>
      <c r="F997" t="s">
        <v>11</v>
      </c>
      <c r="G997" t="s">
        <v>19</v>
      </c>
      <c r="H997">
        <v>2</v>
      </c>
      <c r="I997">
        <v>411</v>
      </c>
      <c r="J997">
        <v>822</v>
      </c>
      <c r="K997" t="str">
        <f>TEXT(Table1[[#This Row],[Date]],"dddd")</f>
        <v>Monday</v>
      </c>
      <c r="L997" t="str">
        <f>TEXT(Table1[[#This Row],[Date]],"mmm-yyyy")</f>
        <v>Oct-2023</v>
      </c>
      <c r="M997">
        <f>HOUR(Table1[[#This Row],[Time]])</f>
        <v>1</v>
      </c>
    </row>
    <row r="998" spans="1:13" x14ac:dyDescent="0.3">
      <c r="A998">
        <v>1997</v>
      </c>
      <c r="B998" s="3">
        <v>45229.371976643517</v>
      </c>
      <c r="C998" s="1">
        <v>45229.371976643517</v>
      </c>
      <c r="D998" t="s">
        <v>73</v>
      </c>
      <c r="E998" t="s">
        <v>14</v>
      </c>
      <c r="F998" t="s">
        <v>11</v>
      </c>
      <c r="G998" t="s">
        <v>29</v>
      </c>
      <c r="H998">
        <v>1</v>
      </c>
      <c r="I998">
        <v>340</v>
      </c>
      <c r="J998">
        <v>340</v>
      </c>
      <c r="K998" t="str">
        <f>TEXT(Table1[[#This Row],[Date]],"dddd")</f>
        <v>Monday</v>
      </c>
      <c r="L998" t="str">
        <f>TEXT(Table1[[#This Row],[Date]],"mmm-yyyy")</f>
        <v>Oct-2023</v>
      </c>
      <c r="M998">
        <f>HOUR(Table1[[#This Row],[Time]])</f>
        <v>8</v>
      </c>
    </row>
    <row r="999" spans="1:13" x14ac:dyDescent="0.3">
      <c r="A999">
        <v>1998</v>
      </c>
      <c r="B999" s="3">
        <v>45229.675562974538</v>
      </c>
      <c r="C999" s="1">
        <v>45229.675562974538</v>
      </c>
      <c r="D999" t="s">
        <v>204</v>
      </c>
      <c r="E999" t="s">
        <v>14</v>
      </c>
      <c r="F999" t="s">
        <v>24</v>
      </c>
      <c r="G999" t="s">
        <v>22</v>
      </c>
      <c r="H999">
        <v>1</v>
      </c>
      <c r="I999">
        <v>544</v>
      </c>
      <c r="J999">
        <v>544</v>
      </c>
      <c r="K999" t="str">
        <f>TEXT(Table1[[#This Row],[Date]],"dddd")</f>
        <v>Monday</v>
      </c>
      <c r="L999" t="str">
        <f>TEXT(Table1[[#This Row],[Date]],"mmm-yyyy")</f>
        <v>Oct-2023</v>
      </c>
      <c r="M999">
        <f>HOUR(Table1[[#This Row],[Time]])</f>
        <v>16</v>
      </c>
    </row>
    <row r="1000" spans="1:13" x14ac:dyDescent="0.3">
      <c r="A1000">
        <v>1999</v>
      </c>
      <c r="B1000" s="3">
        <v>45229.979149293984</v>
      </c>
      <c r="C1000" s="1">
        <v>45229.979149293984</v>
      </c>
      <c r="D1000" t="s">
        <v>309</v>
      </c>
      <c r="E1000" t="s">
        <v>17</v>
      </c>
      <c r="F1000" t="s">
        <v>18</v>
      </c>
      <c r="G1000" t="s">
        <v>19</v>
      </c>
      <c r="H1000">
        <v>4</v>
      </c>
      <c r="I1000">
        <v>397</v>
      </c>
      <c r="J1000">
        <v>1588</v>
      </c>
      <c r="K1000" t="str">
        <f>TEXT(Table1[[#This Row],[Date]],"dddd")</f>
        <v>Monday</v>
      </c>
      <c r="L1000" t="str">
        <f>TEXT(Table1[[#This Row],[Date]],"mmm-yyyy")</f>
        <v>Oct-2023</v>
      </c>
      <c r="M1000">
        <f>HOUR(Table1[[#This Row],[Time]])</f>
        <v>23</v>
      </c>
    </row>
    <row r="1001" spans="1:13" x14ac:dyDescent="0.3">
      <c r="A1001">
        <v>2000</v>
      </c>
      <c r="B1001" s="3">
        <v>45230.282735613429</v>
      </c>
      <c r="C1001" s="1">
        <v>45230.282735613429</v>
      </c>
      <c r="D1001" t="s">
        <v>75</v>
      </c>
      <c r="E1001" t="s">
        <v>14</v>
      </c>
      <c r="F1001" t="s">
        <v>39</v>
      </c>
      <c r="G1001" t="s">
        <v>22</v>
      </c>
      <c r="H1001">
        <v>3</v>
      </c>
      <c r="I1001">
        <v>135</v>
      </c>
      <c r="J1001">
        <v>405</v>
      </c>
      <c r="K1001" t="str">
        <f>TEXT(Table1[[#This Row],[Date]],"dddd")</f>
        <v>Tuesday</v>
      </c>
      <c r="L1001" t="str">
        <f>TEXT(Table1[[#This Row],[Date]],"mmm-yyyy")</f>
        <v>Oct-2023</v>
      </c>
      <c r="M1001">
        <f>HOUR(Table1[[#This Row],[Time]])</f>
        <v>6</v>
      </c>
    </row>
    <row r="1002" spans="1:13" x14ac:dyDescent="0.3">
      <c r="A1002">
        <v>2001</v>
      </c>
      <c r="B1002" s="3">
        <v>45230.586321932868</v>
      </c>
      <c r="C1002" s="1">
        <v>45230.586321932868</v>
      </c>
      <c r="D1002" t="s">
        <v>114</v>
      </c>
      <c r="E1002" t="s">
        <v>28</v>
      </c>
      <c r="F1002" t="s">
        <v>11</v>
      </c>
      <c r="G1002" t="s">
        <v>40</v>
      </c>
      <c r="H1002">
        <v>4</v>
      </c>
      <c r="I1002">
        <v>183</v>
      </c>
      <c r="J1002">
        <v>732</v>
      </c>
      <c r="K1002" t="str">
        <f>TEXT(Table1[[#This Row],[Date]],"dddd")</f>
        <v>Tuesday</v>
      </c>
      <c r="L1002" t="str">
        <f>TEXT(Table1[[#This Row],[Date]],"mmm-yyyy")</f>
        <v>Oct-2023</v>
      </c>
      <c r="M1002">
        <f>HOUR(Table1[[#This Row],[Time]])</f>
        <v>14</v>
      </c>
    </row>
    <row r="1003" spans="1:13" x14ac:dyDescent="0.3">
      <c r="A1003">
        <v>2002</v>
      </c>
      <c r="B1003" s="3">
        <v>45230.889908252313</v>
      </c>
      <c r="C1003" s="1">
        <v>45230.889908252313</v>
      </c>
      <c r="D1003" t="s">
        <v>127</v>
      </c>
      <c r="E1003" t="s">
        <v>28</v>
      </c>
      <c r="F1003" t="s">
        <v>15</v>
      </c>
      <c r="G1003" t="s">
        <v>56</v>
      </c>
      <c r="H1003">
        <v>4</v>
      </c>
      <c r="I1003">
        <v>551</v>
      </c>
      <c r="J1003">
        <v>2204</v>
      </c>
      <c r="K1003" t="str">
        <f>TEXT(Table1[[#This Row],[Date]],"dddd")</f>
        <v>Tuesday</v>
      </c>
      <c r="L1003" t="str">
        <f>TEXT(Table1[[#This Row],[Date]],"mmm-yyyy")</f>
        <v>Oct-2023</v>
      </c>
      <c r="M1003">
        <f>HOUR(Table1[[#This Row],[Time]])</f>
        <v>21</v>
      </c>
    </row>
    <row r="1004" spans="1:13" x14ac:dyDescent="0.3">
      <c r="A1004">
        <v>2003</v>
      </c>
      <c r="B1004" s="3">
        <v>45231.193494583335</v>
      </c>
      <c r="C1004" s="1">
        <v>45231.193494583335</v>
      </c>
      <c r="D1004" t="s">
        <v>180</v>
      </c>
      <c r="E1004" t="s">
        <v>10</v>
      </c>
      <c r="F1004" t="s">
        <v>24</v>
      </c>
      <c r="G1004" t="s">
        <v>19</v>
      </c>
      <c r="H1004">
        <v>4</v>
      </c>
      <c r="I1004">
        <v>985</v>
      </c>
      <c r="J1004">
        <v>3940</v>
      </c>
      <c r="K1004" t="str">
        <f>TEXT(Table1[[#This Row],[Date]],"dddd")</f>
        <v>Wednesday</v>
      </c>
      <c r="L1004" t="str">
        <f>TEXT(Table1[[#This Row],[Date]],"mmm-yyyy")</f>
        <v>Nov-2023</v>
      </c>
      <c r="M1004">
        <f>HOUR(Table1[[#This Row],[Time]])</f>
        <v>4</v>
      </c>
    </row>
    <row r="1005" spans="1:13" x14ac:dyDescent="0.3">
      <c r="A1005">
        <v>2004</v>
      </c>
      <c r="B1005" s="3">
        <v>45231.49708090278</v>
      </c>
      <c r="C1005" s="1">
        <v>45231.49708090278</v>
      </c>
      <c r="D1005" t="s">
        <v>77</v>
      </c>
      <c r="E1005" t="s">
        <v>14</v>
      </c>
      <c r="F1005" t="s">
        <v>11</v>
      </c>
      <c r="G1005" t="s">
        <v>35</v>
      </c>
      <c r="H1005">
        <v>4</v>
      </c>
      <c r="I1005">
        <v>874</v>
      </c>
      <c r="J1005">
        <v>3496</v>
      </c>
      <c r="K1005" t="str">
        <f>TEXT(Table1[[#This Row],[Date]],"dddd")</f>
        <v>Wednesday</v>
      </c>
      <c r="L1005" t="str">
        <f>TEXT(Table1[[#This Row],[Date]],"mmm-yyyy")</f>
        <v>Nov-2023</v>
      </c>
      <c r="M1005">
        <f>HOUR(Table1[[#This Row],[Time]])</f>
        <v>11</v>
      </c>
    </row>
    <row r="1006" spans="1:13" x14ac:dyDescent="0.3">
      <c r="A1006">
        <v>2005</v>
      </c>
      <c r="B1006" s="3">
        <v>45231.800667222225</v>
      </c>
      <c r="C1006" s="1">
        <v>45231.800667222225</v>
      </c>
      <c r="D1006" t="s">
        <v>317</v>
      </c>
      <c r="E1006" t="s">
        <v>14</v>
      </c>
      <c r="F1006" t="s">
        <v>24</v>
      </c>
      <c r="G1006" t="s">
        <v>12</v>
      </c>
      <c r="H1006">
        <v>5</v>
      </c>
      <c r="I1006">
        <v>921</v>
      </c>
      <c r="J1006">
        <v>4605</v>
      </c>
      <c r="K1006" t="str">
        <f>TEXT(Table1[[#This Row],[Date]],"dddd")</f>
        <v>Wednesday</v>
      </c>
      <c r="L1006" t="str">
        <f>TEXT(Table1[[#This Row],[Date]],"mmm-yyyy")</f>
        <v>Nov-2023</v>
      </c>
      <c r="M1006">
        <f>HOUR(Table1[[#This Row],[Time]])</f>
        <v>19</v>
      </c>
    </row>
    <row r="1007" spans="1:13" x14ac:dyDescent="0.3">
      <c r="A1007">
        <v>2006</v>
      </c>
      <c r="B1007" s="3">
        <v>45232.104253541664</v>
      </c>
      <c r="C1007" s="1">
        <v>45232.104253541664</v>
      </c>
      <c r="D1007" t="s">
        <v>190</v>
      </c>
      <c r="E1007" t="s">
        <v>10</v>
      </c>
      <c r="F1007" t="s">
        <v>15</v>
      </c>
      <c r="G1007" t="s">
        <v>12</v>
      </c>
      <c r="H1007">
        <v>5</v>
      </c>
      <c r="I1007">
        <v>484</v>
      </c>
      <c r="J1007">
        <v>2420</v>
      </c>
      <c r="K1007" t="str">
        <f>TEXT(Table1[[#This Row],[Date]],"dddd")</f>
        <v>Thursday</v>
      </c>
      <c r="L1007" t="str">
        <f>TEXT(Table1[[#This Row],[Date]],"mmm-yyyy")</f>
        <v>Nov-2023</v>
      </c>
      <c r="M1007">
        <f>HOUR(Table1[[#This Row],[Time]])</f>
        <v>2</v>
      </c>
    </row>
    <row r="1008" spans="1:13" x14ac:dyDescent="0.3">
      <c r="A1008">
        <v>2007</v>
      </c>
      <c r="B1008" s="3">
        <v>45232.407839861109</v>
      </c>
      <c r="C1008" s="1">
        <v>45232.407839861109</v>
      </c>
      <c r="D1008" t="s">
        <v>211</v>
      </c>
      <c r="E1008" t="s">
        <v>17</v>
      </c>
      <c r="F1008" t="s">
        <v>11</v>
      </c>
      <c r="G1008" t="s">
        <v>33</v>
      </c>
      <c r="H1008">
        <v>2</v>
      </c>
      <c r="I1008">
        <v>271</v>
      </c>
      <c r="J1008">
        <v>542</v>
      </c>
      <c r="K1008" t="str">
        <f>TEXT(Table1[[#This Row],[Date]],"dddd")</f>
        <v>Thursday</v>
      </c>
      <c r="L1008" t="str">
        <f>TEXT(Table1[[#This Row],[Date]],"mmm-yyyy")</f>
        <v>Nov-2023</v>
      </c>
      <c r="M1008">
        <f>HOUR(Table1[[#This Row],[Time]])</f>
        <v>9</v>
      </c>
    </row>
    <row r="1009" spans="1:13" x14ac:dyDescent="0.3">
      <c r="A1009">
        <v>2008</v>
      </c>
      <c r="B1009" s="3">
        <v>45232.711426192131</v>
      </c>
      <c r="C1009" s="1">
        <v>45232.711426192131</v>
      </c>
      <c r="D1009" t="s">
        <v>243</v>
      </c>
      <c r="E1009" t="s">
        <v>14</v>
      </c>
      <c r="F1009" t="s">
        <v>18</v>
      </c>
      <c r="G1009" t="s">
        <v>19</v>
      </c>
      <c r="H1009">
        <v>1</v>
      </c>
      <c r="I1009">
        <v>475</v>
      </c>
      <c r="J1009">
        <v>475</v>
      </c>
      <c r="K1009" t="str">
        <f>TEXT(Table1[[#This Row],[Date]],"dddd")</f>
        <v>Thursday</v>
      </c>
      <c r="L1009" t="str">
        <f>TEXT(Table1[[#This Row],[Date]],"mmm-yyyy")</f>
        <v>Nov-2023</v>
      </c>
      <c r="M1009">
        <f>HOUR(Table1[[#This Row],[Time]])</f>
        <v>17</v>
      </c>
    </row>
    <row r="1010" spans="1:13" x14ac:dyDescent="0.3">
      <c r="A1010">
        <v>2009</v>
      </c>
      <c r="B1010" s="3">
        <v>45233.015012511576</v>
      </c>
      <c r="C1010" s="1">
        <v>45233.015012511576</v>
      </c>
      <c r="D1010" t="s">
        <v>74</v>
      </c>
      <c r="E1010" t="s">
        <v>14</v>
      </c>
      <c r="F1010" t="s">
        <v>24</v>
      </c>
      <c r="G1010" t="s">
        <v>35</v>
      </c>
      <c r="H1010">
        <v>4</v>
      </c>
      <c r="I1010">
        <v>784</v>
      </c>
      <c r="J1010">
        <v>3136</v>
      </c>
      <c r="K1010" t="str">
        <f>TEXT(Table1[[#This Row],[Date]],"dddd")</f>
        <v>Friday</v>
      </c>
      <c r="L1010" t="str">
        <f>TEXT(Table1[[#This Row],[Date]],"mmm-yyyy")</f>
        <v>Nov-2023</v>
      </c>
      <c r="M1010">
        <f>HOUR(Table1[[#This Row],[Time]])</f>
        <v>0</v>
      </c>
    </row>
    <row r="1011" spans="1:13" x14ac:dyDescent="0.3">
      <c r="A1011">
        <v>2010</v>
      </c>
      <c r="B1011" s="3">
        <v>45233.318598831022</v>
      </c>
      <c r="C1011" s="1">
        <v>45233.318598831022</v>
      </c>
      <c r="D1011" t="s">
        <v>91</v>
      </c>
      <c r="E1011" t="s">
        <v>17</v>
      </c>
      <c r="F1011" t="s">
        <v>11</v>
      </c>
      <c r="G1011" t="s">
        <v>22</v>
      </c>
      <c r="H1011">
        <v>2</v>
      </c>
      <c r="I1011">
        <v>461</v>
      </c>
      <c r="J1011">
        <v>922</v>
      </c>
      <c r="K1011" t="str">
        <f>TEXT(Table1[[#This Row],[Date]],"dddd")</f>
        <v>Friday</v>
      </c>
      <c r="L1011" t="str">
        <f>TEXT(Table1[[#This Row],[Date]],"mmm-yyyy")</f>
        <v>Nov-2023</v>
      </c>
      <c r="M1011">
        <f>HOUR(Table1[[#This Row],[Time]])</f>
        <v>7</v>
      </c>
    </row>
    <row r="1012" spans="1:13" x14ac:dyDescent="0.3">
      <c r="A1012">
        <v>2011</v>
      </c>
      <c r="B1012" s="3">
        <v>45233.62218515046</v>
      </c>
      <c r="C1012" s="1">
        <v>45233.62218515046</v>
      </c>
      <c r="D1012" t="s">
        <v>92</v>
      </c>
      <c r="E1012" t="s">
        <v>14</v>
      </c>
      <c r="F1012" t="s">
        <v>11</v>
      </c>
      <c r="G1012" t="s">
        <v>35</v>
      </c>
      <c r="H1012">
        <v>1</v>
      </c>
      <c r="I1012">
        <v>658</v>
      </c>
      <c r="J1012">
        <v>658</v>
      </c>
      <c r="K1012" t="str">
        <f>TEXT(Table1[[#This Row],[Date]],"dddd")</f>
        <v>Friday</v>
      </c>
      <c r="L1012" t="str">
        <f>TEXT(Table1[[#This Row],[Date]],"mmm-yyyy")</f>
        <v>Nov-2023</v>
      </c>
      <c r="M1012">
        <f>HOUR(Table1[[#This Row],[Time]])</f>
        <v>14</v>
      </c>
    </row>
    <row r="1013" spans="1:13" x14ac:dyDescent="0.3">
      <c r="A1013">
        <v>2012</v>
      </c>
      <c r="B1013" s="3">
        <v>45233.925771481481</v>
      </c>
      <c r="C1013" s="1">
        <v>45233.925771481481</v>
      </c>
      <c r="D1013" t="s">
        <v>69</v>
      </c>
      <c r="E1013" t="s">
        <v>28</v>
      </c>
      <c r="F1013" t="s">
        <v>24</v>
      </c>
      <c r="G1013" t="s">
        <v>12</v>
      </c>
      <c r="H1013">
        <v>3</v>
      </c>
      <c r="I1013">
        <v>990</v>
      </c>
      <c r="J1013">
        <v>2970</v>
      </c>
      <c r="K1013" t="str">
        <f>TEXT(Table1[[#This Row],[Date]],"dddd")</f>
        <v>Friday</v>
      </c>
      <c r="L1013" t="str">
        <f>TEXT(Table1[[#This Row],[Date]],"mmm-yyyy")</f>
        <v>Nov-2023</v>
      </c>
      <c r="M1013">
        <f>HOUR(Table1[[#This Row],[Time]])</f>
        <v>22</v>
      </c>
    </row>
    <row r="1014" spans="1:13" x14ac:dyDescent="0.3">
      <c r="A1014">
        <v>2013</v>
      </c>
      <c r="B1014" s="3">
        <v>45234.229357800927</v>
      </c>
      <c r="C1014" s="1">
        <v>45234.229357800927</v>
      </c>
      <c r="D1014" t="s">
        <v>59</v>
      </c>
      <c r="E1014" t="s">
        <v>28</v>
      </c>
      <c r="F1014" t="s">
        <v>15</v>
      </c>
      <c r="G1014" t="s">
        <v>19</v>
      </c>
      <c r="H1014">
        <v>5</v>
      </c>
      <c r="I1014">
        <v>240</v>
      </c>
      <c r="J1014">
        <v>1200</v>
      </c>
      <c r="K1014" t="str">
        <f>TEXT(Table1[[#This Row],[Date]],"dddd")</f>
        <v>Saturday</v>
      </c>
      <c r="L1014" t="str">
        <f>TEXT(Table1[[#This Row],[Date]],"mmm-yyyy")</f>
        <v>Nov-2023</v>
      </c>
      <c r="M1014">
        <f>HOUR(Table1[[#This Row],[Time]])</f>
        <v>5</v>
      </c>
    </row>
    <row r="1015" spans="1:13" x14ac:dyDescent="0.3">
      <c r="A1015">
        <v>2014</v>
      </c>
      <c r="B1015" s="3">
        <v>45234.532944120372</v>
      </c>
      <c r="C1015" s="1">
        <v>45234.532944120372</v>
      </c>
      <c r="D1015" t="s">
        <v>135</v>
      </c>
      <c r="E1015" t="s">
        <v>17</v>
      </c>
      <c r="F1015" t="s">
        <v>24</v>
      </c>
      <c r="G1015" t="s">
        <v>29</v>
      </c>
      <c r="H1015">
        <v>1</v>
      </c>
      <c r="I1015">
        <v>986</v>
      </c>
      <c r="J1015">
        <v>986</v>
      </c>
      <c r="K1015" t="str">
        <f>TEXT(Table1[[#This Row],[Date]],"dddd")</f>
        <v>Saturday</v>
      </c>
      <c r="L1015" t="str">
        <f>TEXT(Table1[[#This Row],[Date]],"mmm-yyyy")</f>
        <v>Nov-2023</v>
      </c>
      <c r="M1015">
        <f>HOUR(Table1[[#This Row],[Time]])</f>
        <v>12</v>
      </c>
    </row>
    <row r="1016" spans="1:13" x14ac:dyDescent="0.3">
      <c r="A1016">
        <v>2015</v>
      </c>
      <c r="B1016" s="3">
        <v>45234.836530439818</v>
      </c>
      <c r="C1016" s="1">
        <v>45234.836530439818</v>
      </c>
      <c r="D1016" t="s">
        <v>177</v>
      </c>
      <c r="E1016" t="s">
        <v>17</v>
      </c>
      <c r="F1016" t="s">
        <v>39</v>
      </c>
      <c r="G1016" t="s">
        <v>19</v>
      </c>
      <c r="H1016">
        <v>3</v>
      </c>
      <c r="I1016">
        <v>217</v>
      </c>
      <c r="J1016">
        <v>651</v>
      </c>
      <c r="K1016" t="str">
        <f>TEXT(Table1[[#This Row],[Date]],"dddd")</f>
        <v>Saturday</v>
      </c>
      <c r="L1016" t="str">
        <f>TEXT(Table1[[#This Row],[Date]],"mmm-yyyy")</f>
        <v>Nov-2023</v>
      </c>
      <c r="M1016">
        <f>HOUR(Table1[[#This Row],[Time]])</f>
        <v>20</v>
      </c>
    </row>
    <row r="1017" spans="1:13" x14ac:dyDescent="0.3">
      <c r="A1017">
        <v>2016</v>
      </c>
      <c r="B1017" s="3">
        <v>45235.140116759256</v>
      </c>
      <c r="C1017" s="1">
        <v>45235.140116759256</v>
      </c>
      <c r="D1017" t="s">
        <v>315</v>
      </c>
      <c r="E1017" t="s">
        <v>28</v>
      </c>
      <c r="F1017" t="s">
        <v>18</v>
      </c>
      <c r="G1017" t="s">
        <v>33</v>
      </c>
      <c r="H1017">
        <v>1</v>
      </c>
      <c r="I1017">
        <v>376</v>
      </c>
      <c r="J1017">
        <v>376</v>
      </c>
      <c r="K1017" t="str">
        <f>TEXT(Table1[[#This Row],[Date]],"dddd")</f>
        <v>Sunday</v>
      </c>
      <c r="L1017" t="str">
        <f>TEXT(Table1[[#This Row],[Date]],"mmm-yyyy")</f>
        <v>Nov-2023</v>
      </c>
      <c r="M1017">
        <f>HOUR(Table1[[#This Row],[Time]])</f>
        <v>3</v>
      </c>
    </row>
    <row r="1018" spans="1:13" x14ac:dyDescent="0.3">
      <c r="A1018">
        <v>2017</v>
      </c>
      <c r="B1018" s="3">
        <v>45235.443703090277</v>
      </c>
      <c r="C1018" s="1">
        <v>45235.443703090277</v>
      </c>
      <c r="D1018" t="s">
        <v>20</v>
      </c>
      <c r="E1018" t="s">
        <v>28</v>
      </c>
      <c r="F1018" t="s">
        <v>15</v>
      </c>
      <c r="G1018" t="s">
        <v>33</v>
      </c>
      <c r="H1018">
        <v>5</v>
      </c>
      <c r="I1018">
        <v>825</v>
      </c>
      <c r="J1018">
        <v>4125</v>
      </c>
      <c r="K1018" t="str">
        <f>TEXT(Table1[[#This Row],[Date]],"dddd")</f>
        <v>Sunday</v>
      </c>
      <c r="L1018" t="str">
        <f>TEXT(Table1[[#This Row],[Date]],"mmm-yyyy")</f>
        <v>Nov-2023</v>
      </c>
      <c r="M1018">
        <f>HOUR(Table1[[#This Row],[Time]])</f>
        <v>10</v>
      </c>
    </row>
    <row r="1019" spans="1:13" x14ac:dyDescent="0.3">
      <c r="A1019">
        <v>2018</v>
      </c>
      <c r="B1019" s="3">
        <v>45235.747289409723</v>
      </c>
      <c r="C1019" s="1">
        <v>45235.747289409723</v>
      </c>
      <c r="D1019" t="s">
        <v>138</v>
      </c>
      <c r="E1019" t="s">
        <v>28</v>
      </c>
      <c r="F1019" t="s">
        <v>18</v>
      </c>
      <c r="G1019" t="s">
        <v>25</v>
      </c>
      <c r="H1019">
        <v>5</v>
      </c>
      <c r="I1019">
        <v>319</v>
      </c>
      <c r="J1019">
        <v>1595</v>
      </c>
      <c r="K1019" t="str">
        <f>TEXT(Table1[[#This Row],[Date]],"dddd")</f>
        <v>Sunday</v>
      </c>
      <c r="L1019" t="str">
        <f>TEXT(Table1[[#This Row],[Date]],"mmm-yyyy")</f>
        <v>Nov-2023</v>
      </c>
      <c r="M1019">
        <f>HOUR(Table1[[#This Row],[Time]])</f>
        <v>17</v>
      </c>
    </row>
    <row r="1020" spans="1:13" x14ac:dyDescent="0.3">
      <c r="A1020">
        <v>2019</v>
      </c>
      <c r="B1020" s="3">
        <v>45236.050875729168</v>
      </c>
      <c r="C1020" s="1">
        <v>45236.050875729168</v>
      </c>
      <c r="D1020" t="s">
        <v>178</v>
      </c>
      <c r="E1020" t="s">
        <v>28</v>
      </c>
      <c r="F1020" t="s">
        <v>18</v>
      </c>
      <c r="G1020" t="s">
        <v>56</v>
      </c>
      <c r="H1020">
        <v>2</v>
      </c>
      <c r="I1020">
        <v>125</v>
      </c>
      <c r="J1020">
        <v>250</v>
      </c>
      <c r="K1020" t="str">
        <f>TEXT(Table1[[#This Row],[Date]],"dddd")</f>
        <v>Monday</v>
      </c>
      <c r="L1020" t="str">
        <f>TEXT(Table1[[#This Row],[Date]],"mmm-yyyy")</f>
        <v>Nov-2023</v>
      </c>
      <c r="M1020">
        <f>HOUR(Table1[[#This Row],[Time]])</f>
        <v>1</v>
      </c>
    </row>
    <row r="1021" spans="1:13" x14ac:dyDescent="0.3">
      <c r="A1021">
        <v>2020</v>
      </c>
      <c r="B1021" s="3">
        <v>45236.354462048614</v>
      </c>
      <c r="C1021" s="1">
        <v>45236.354462048614</v>
      </c>
      <c r="D1021" t="s">
        <v>207</v>
      </c>
      <c r="E1021" t="s">
        <v>17</v>
      </c>
      <c r="F1021" t="s">
        <v>24</v>
      </c>
      <c r="G1021" t="s">
        <v>22</v>
      </c>
      <c r="H1021">
        <v>4</v>
      </c>
      <c r="I1021">
        <v>620</v>
      </c>
      <c r="J1021">
        <v>2480</v>
      </c>
      <c r="K1021" t="str">
        <f>TEXT(Table1[[#This Row],[Date]],"dddd")</f>
        <v>Monday</v>
      </c>
      <c r="L1021" t="str">
        <f>TEXT(Table1[[#This Row],[Date]],"mmm-yyyy")</f>
        <v>Nov-2023</v>
      </c>
      <c r="M1021">
        <f>HOUR(Table1[[#This Row],[Time]])</f>
        <v>8</v>
      </c>
    </row>
    <row r="1022" spans="1:13" x14ac:dyDescent="0.3">
      <c r="A1022">
        <v>2021</v>
      </c>
      <c r="B1022" s="3">
        <v>45236.658048368059</v>
      </c>
      <c r="C1022" s="1">
        <v>45236.658048368059</v>
      </c>
      <c r="D1022" t="s">
        <v>311</v>
      </c>
      <c r="E1022" t="s">
        <v>17</v>
      </c>
      <c r="F1022" t="s">
        <v>39</v>
      </c>
      <c r="G1022" t="s">
        <v>33</v>
      </c>
      <c r="H1022">
        <v>1</v>
      </c>
      <c r="I1022">
        <v>882</v>
      </c>
      <c r="J1022">
        <v>882</v>
      </c>
      <c r="K1022" t="str">
        <f>TEXT(Table1[[#This Row],[Date]],"dddd")</f>
        <v>Monday</v>
      </c>
      <c r="L1022" t="str">
        <f>TEXT(Table1[[#This Row],[Date]],"mmm-yyyy")</f>
        <v>Nov-2023</v>
      </c>
      <c r="M1022">
        <f>HOUR(Table1[[#This Row],[Time]])</f>
        <v>15</v>
      </c>
    </row>
    <row r="1023" spans="1:13" x14ac:dyDescent="0.3">
      <c r="A1023">
        <v>2022</v>
      </c>
      <c r="B1023" s="3">
        <v>45236.961634699073</v>
      </c>
      <c r="C1023" s="1">
        <v>45236.961634699073</v>
      </c>
      <c r="D1023" t="s">
        <v>86</v>
      </c>
      <c r="E1023" t="s">
        <v>10</v>
      </c>
      <c r="F1023" t="s">
        <v>11</v>
      </c>
      <c r="G1023" t="s">
        <v>33</v>
      </c>
      <c r="H1023">
        <v>1</v>
      </c>
      <c r="I1023">
        <v>109</v>
      </c>
      <c r="J1023">
        <v>109</v>
      </c>
      <c r="K1023" t="str">
        <f>TEXT(Table1[[#This Row],[Date]],"dddd")</f>
        <v>Monday</v>
      </c>
      <c r="L1023" t="str">
        <f>TEXT(Table1[[#This Row],[Date]],"mmm-yyyy")</f>
        <v>Nov-2023</v>
      </c>
      <c r="M1023">
        <f>HOUR(Table1[[#This Row],[Time]])</f>
        <v>23</v>
      </c>
    </row>
    <row r="1024" spans="1:13" x14ac:dyDescent="0.3">
      <c r="A1024">
        <v>2023</v>
      </c>
      <c r="B1024" s="3">
        <v>45237.265221018519</v>
      </c>
      <c r="C1024" s="1">
        <v>45237.265221018519</v>
      </c>
      <c r="D1024" t="s">
        <v>254</v>
      </c>
      <c r="E1024" t="s">
        <v>17</v>
      </c>
      <c r="F1024" t="s">
        <v>39</v>
      </c>
      <c r="G1024" t="s">
        <v>25</v>
      </c>
      <c r="H1024">
        <v>3</v>
      </c>
      <c r="I1024">
        <v>477</v>
      </c>
      <c r="J1024">
        <v>1431</v>
      </c>
      <c r="K1024" t="str">
        <f>TEXT(Table1[[#This Row],[Date]],"dddd")</f>
        <v>Tuesday</v>
      </c>
      <c r="L1024" t="str">
        <f>TEXT(Table1[[#This Row],[Date]],"mmm-yyyy")</f>
        <v>Nov-2023</v>
      </c>
      <c r="M1024">
        <f>HOUR(Table1[[#This Row],[Time]])</f>
        <v>6</v>
      </c>
    </row>
    <row r="1025" spans="1:13" x14ac:dyDescent="0.3">
      <c r="A1025">
        <v>2024</v>
      </c>
      <c r="B1025" s="3">
        <v>45237.568807337964</v>
      </c>
      <c r="C1025" s="1">
        <v>45237.568807337964</v>
      </c>
      <c r="D1025" t="s">
        <v>67</v>
      </c>
      <c r="E1025" t="s">
        <v>28</v>
      </c>
      <c r="F1025" t="s">
        <v>15</v>
      </c>
      <c r="G1025" t="s">
        <v>12</v>
      </c>
      <c r="H1025">
        <v>5</v>
      </c>
      <c r="I1025">
        <v>732</v>
      </c>
      <c r="J1025">
        <v>3660</v>
      </c>
      <c r="K1025" t="str">
        <f>TEXT(Table1[[#This Row],[Date]],"dddd")</f>
        <v>Tuesday</v>
      </c>
      <c r="L1025" t="str">
        <f>TEXT(Table1[[#This Row],[Date]],"mmm-yyyy")</f>
        <v>Nov-2023</v>
      </c>
      <c r="M1025">
        <f>HOUR(Table1[[#This Row],[Time]])</f>
        <v>13</v>
      </c>
    </row>
    <row r="1026" spans="1:13" x14ac:dyDescent="0.3">
      <c r="A1026">
        <v>2025</v>
      </c>
      <c r="B1026" s="3">
        <v>45237.87239365741</v>
      </c>
      <c r="C1026" s="1">
        <v>45237.87239365741</v>
      </c>
      <c r="D1026" t="s">
        <v>120</v>
      </c>
      <c r="E1026" t="s">
        <v>14</v>
      </c>
      <c r="F1026" t="s">
        <v>39</v>
      </c>
      <c r="G1026" t="s">
        <v>12</v>
      </c>
      <c r="H1026">
        <v>1</v>
      </c>
      <c r="I1026">
        <v>736</v>
      </c>
      <c r="J1026">
        <v>736</v>
      </c>
      <c r="K1026" t="str">
        <f>TEXT(Table1[[#This Row],[Date]],"dddd")</f>
        <v>Tuesday</v>
      </c>
      <c r="L1026" t="str">
        <f>TEXT(Table1[[#This Row],[Date]],"mmm-yyyy")</f>
        <v>Nov-2023</v>
      </c>
      <c r="M1026">
        <f>HOUR(Table1[[#This Row],[Time]])</f>
        <v>20</v>
      </c>
    </row>
    <row r="1027" spans="1:13" x14ac:dyDescent="0.3">
      <c r="A1027">
        <v>2026</v>
      </c>
      <c r="B1027" s="3">
        <v>45238.175979988424</v>
      </c>
      <c r="C1027" s="1">
        <v>45238.175979988424</v>
      </c>
      <c r="D1027" t="s">
        <v>146</v>
      </c>
      <c r="E1027" t="s">
        <v>28</v>
      </c>
      <c r="F1027" t="s">
        <v>18</v>
      </c>
      <c r="G1027" t="s">
        <v>35</v>
      </c>
      <c r="H1027">
        <v>5</v>
      </c>
      <c r="I1027">
        <v>781</v>
      </c>
      <c r="J1027">
        <v>3905</v>
      </c>
      <c r="K1027" t="str">
        <f>TEXT(Table1[[#This Row],[Date]],"dddd")</f>
        <v>Wednesday</v>
      </c>
      <c r="L1027" t="str">
        <f>TEXT(Table1[[#This Row],[Date]],"mmm-yyyy")</f>
        <v>Nov-2023</v>
      </c>
      <c r="M1027">
        <f>HOUR(Table1[[#This Row],[Time]])</f>
        <v>4</v>
      </c>
    </row>
    <row r="1028" spans="1:13" x14ac:dyDescent="0.3">
      <c r="A1028">
        <v>2027</v>
      </c>
      <c r="B1028" s="3">
        <v>45238.479566307869</v>
      </c>
      <c r="C1028" s="1">
        <v>45238.479566307869</v>
      </c>
      <c r="D1028" t="s">
        <v>318</v>
      </c>
      <c r="E1028" t="s">
        <v>28</v>
      </c>
      <c r="F1028" t="s">
        <v>11</v>
      </c>
      <c r="G1028" t="s">
        <v>22</v>
      </c>
      <c r="H1028">
        <v>1</v>
      </c>
      <c r="I1028">
        <v>683</v>
      </c>
      <c r="J1028">
        <v>683</v>
      </c>
      <c r="K1028" t="str">
        <f>TEXT(Table1[[#This Row],[Date]],"dddd")</f>
        <v>Wednesday</v>
      </c>
      <c r="L1028" t="str">
        <f>TEXT(Table1[[#This Row],[Date]],"mmm-yyyy")</f>
        <v>Nov-2023</v>
      </c>
      <c r="M1028">
        <f>HOUR(Table1[[#This Row],[Time]])</f>
        <v>11</v>
      </c>
    </row>
    <row r="1029" spans="1:13" x14ac:dyDescent="0.3">
      <c r="A1029">
        <v>2028</v>
      </c>
      <c r="B1029" s="3">
        <v>45238.783152627315</v>
      </c>
      <c r="C1029" s="1">
        <v>45238.783152627315</v>
      </c>
      <c r="D1029" t="s">
        <v>109</v>
      </c>
      <c r="E1029" t="s">
        <v>17</v>
      </c>
      <c r="F1029" t="s">
        <v>39</v>
      </c>
      <c r="G1029" t="s">
        <v>19</v>
      </c>
      <c r="H1029">
        <v>2</v>
      </c>
      <c r="I1029">
        <v>251</v>
      </c>
      <c r="J1029">
        <v>502</v>
      </c>
      <c r="K1029" t="str">
        <f>TEXT(Table1[[#This Row],[Date]],"dddd")</f>
        <v>Wednesday</v>
      </c>
      <c r="L1029" t="str">
        <f>TEXT(Table1[[#This Row],[Date]],"mmm-yyyy")</f>
        <v>Nov-2023</v>
      </c>
      <c r="M1029">
        <f>HOUR(Table1[[#This Row],[Time]])</f>
        <v>18</v>
      </c>
    </row>
    <row r="1030" spans="1:13" x14ac:dyDescent="0.3">
      <c r="A1030">
        <v>2029</v>
      </c>
      <c r="B1030" s="3">
        <v>45239.08673894676</v>
      </c>
      <c r="C1030" s="1">
        <v>45239.08673894676</v>
      </c>
      <c r="D1030" t="s">
        <v>103</v>
      </c>
      <c r="E1030" t="s">
        <v>10</v>
      </c>
      <c r="F1030" t="s">
        <v>11</v>
      </c>
      <c r="G1030" t="s">
        <v>56</v>
      </c>
      <c r="H1030">
        <v>4</v>
      </c>
      <c r="I1030">
        <v>819</v>
      </c>
      <c r="J1030">
        <v>3276</v>
      </c>
      <c r="K1030" t="str">
        <f>TEXT(Table1[[#This Row],[Date]],"dddd")</f>
        <v>Thursday</v>
      </c>
      <c r="L1030" t="str">
        <f>TEXT(Table1[[#This Row],[Date]],"mmm-yyyy")</f>
        <v>Nov-2023</v>
      </c>
      <c r="M1030">
        <f>HOUR(Table1[[#This Row],[Time]])</f>
        <v>2</v>
      </c>
    </row>
    <row r="1031" spans="1:13" x14ac:dyDescent="0.3">
      <c r="A1031">
        <v>2030</v>
      </c>
      <c r="B1031" s="3">
        <v>45239.390325266206</v>
      </c>
      <c r="C1031" s="1">
        <v>45239.390325266206</v>
      </c>
      <c r="D1031" t="s">
        <v>281</v>
      </c>
      <c r="E1031" t="s">
        <v>14</v>
      </c>
      <c r="F1031" t="s">
        <v>39</v>
      </c>
      <c r="G1031" t="s">
        <v>40</v>
      </c>
      <c r="H1031">
        <v>1</v>
      </c>
      <c r="I1031">
        <v>148</v>
      </c>
      <c r="J1031">
        <v>148</v>
      </c>
      <c r="K1031" t="str">
        <f>TEXT(Table1[[#This Row],[Date]],"dddd")</f>
        <v>Thursday</v>
      </c>
      <c r="L1031" t="str">
        <f>TEXT(Table1[[#This Row],[Date]],"mmm-yyyy")</f>
        <v>Nov-2023</v>
      </c>
      <c r="M1031">
        <f>HOUR(Table1[[#This Row],[Time]])</f>
        <v>9</v>
      </c>
    </row>
    <row r="1032" spans="1:13" x14ac:dyDescent="0.3">
      <c r="A1032">
        <v>2031</v>
      </c>
      <c r="B1032" s="3">
        <v>45239.69391159722</v>
      </c>
      <c r="C1032" s="1">
        <v>45239.69391159722</v>
      </c>
      <c r="D1032" t="s">
        <v>88</v>
      </c>
      <c r="E1032" t="s">
        <v>14</v>
      </c>
      <c r="F1032" t="s">
        <v>11</v>
      </c>
      <c r="G1032" t="s">
        <v>29</v>
      </c>
      <c r="H1032">
        <v>5</v>
      </c>
      <c r="I1032">
        <v>253</v>
      </c>
      <c r="J1032">
        <v>1265</v>
      </c>
      <c r="K1032" t="str">
        <f>TEXT(Table1[[#This Row],[Date]],"dddd")</f>
        <v>Thursday</v>
      </c>
      <c r="L1032" t="str">
        <f>TEXT(Table1[[#This Row],[Date]],"mmm-yyyy")</f>
        <v>Nov-2023</v>
      </c>
      <c r="M1032">
        <f>HOUR(Table1[[#This Row],[Time]])</f>
        <v>16</v>
      </c>
    </row>
    <row r="1033" spans="1:13" x14ac:dyDescent="0.3">
      <c r="A1033">
        <v>2032</v>
      </c>
      <c r="B1033" s="3">
        <v>45239.997497916665</v>
      </c>
      <c r="C1033" s="1">
        <v>45239.997497916665</v>
      </c>
      <c r="D1033" t="s">
        <v>247</v>
      </c>
      <c r="E1033" t="s">
        <v>10</v>
      </c>
      <c r="F1033" t="s">
        <v>39</v>
      </c>
      <c r="G1033" t="s">
        <v>25</v>
      </c>
      <c r="H1033">
        <v>2</v>
      </c>
      <c r="I1033">
        <v>958</v>
      </c>
      <c r="J1033">
        <v>1916</v>
      </c>
      <c r="K1033" t="str">
        <f>TEXT(Table1[[#This Row],[Date]],"dddd")</f>
        <v>Thursday</v>
      </c>
      <c r="L1033" t="str">
        <f>TEXT(Table1[[#This Row],[Date]],"mmm-yyyy")</f>
        <v>Nov-2023</v>
      </c>
      <c r="M1033">
        <f>HOUR(Table1[[#This Row],[Time]])</f>
        <v>23</v>
      </c>
    </row>
    <row r="1034" spans="1:13" x14ac:dyDescent="0.3">
      <c r="A1034">
        <v>2033</v>
      </c>
      <c r="B1034" s="3">
        <v>45240.301084236111</v>
      </c>
      <c r="C1034" s="1">
        <v>45240.301084236111</v>
      </c>
      <c r="D1034" t="s">
        <v>63</v>
      </c>
      <c r="E1034" t="s">
        <v>28</v>
      </c>
      <c r="F1034" t="s">
        <v>15</v>
      </c>
      <c r="G1034" t="s">
        <v>56</v>
      </c>
      <c r="H1034">
        <v>1</v>
      </c>
      <c r="I1034">
        <v>392</v>
      </c>
      <c r="J1034">
        <v>392</v>
      </c>
      <c r="K1034" t="str">
        <f>TEXT(Table1[[#This Row],[Date]],"dddd")</f>
        <v>Friday</v>
      </c>
      <c r="L1034" t="str">
        <f>TEXT(Table1[[#This Row],[Date]],"mmm-yyyy")</f>
        <v>Nov-2023</v>
      </c>
      <c r="M1034">
        <f>HOUR(Table1[[#This Row],[Time]])</f>
        <v>7</v>
      </c>
    </row>
    <row r="1035" spans="1:13" x14ac:dyDescent="0.3">
      <c r="A1035">
        <v>2034</v>
      </c>
      <c r="B1035" s="3">
        <v>45240.604670555556</v>
      </c>
      <c r="C1035" s="1">
        <v>45240.604670555556</v>
      </c>
      <c r="D1035" t="s">
        <v>247</v>
      </c>
      <c r="E1035" t="s">
        <v>17</v>
      </c>
      <c r="F1035" t="s">
        <v>11</v>
      </c>
      <c r="G1035" t="s">
        <v>40</v>
      </c>
      <c r="H1035">
        <v>3</v>
      </c>
      <c r="I1035">
        <v>679</v>
      </c>
      <c r="J1035">
        <v>2037</v>
      </c>
      <c r="K1035" t="str">
        <f>TEXT(Table1[[#This Row],[Date]],"dddd")</f>
        <v>Friday</v>
      </c>
      <c r="L1035" t="str">
        <f>TEXT(Table1[[#This Row],[Date]],"mmm-yyyy")</f>
        <v>Nov-2023</v>
      </c>
      <c r="M1035">
        <f>HOUR(Table1[[#This Row],[Time]])</f>
        <v>14</v>
      </c>
    </row>
    <row r="1036" spans="1:13" x14ac:dyDescent="0.3">
      <c r="A1036">
        <v>2035</v>
      </c>
      <c r="B1036" s="3">
        <v>45240.908256875002</v>
      </c>
      <c r="C1036" s="1">
        <v>45240.908256875002</v>
      </c>
      <c r="D1036" t="s">
        <v>213</v>
      </c>
      <c r="E1036" t="s">
        <v>28</v>
      </c>
      <c r="F1036" t="s">
        <v>24</v>
      </c>
      <c r="G1036" t="s">
        <v>29</v>
      </c>
      <c r="H1036">
        <v>4</v>
      </c>
      <c r="I1036">
        <v>149</v>
      </c>
      <c r="J1036">
        <v>596</v>
      </c>
      <c r="K1036" t="str">
        <f>TEXT(Table1[[#This Row],[Date]],"dddd")</f>
        <v>Friday</v>
      </c>
      <c r="L1036" t="str">
        <f>TEXT(Table1[[#This Row],[Date]],"mmm-yyyy")</f>
        <v>Nov-2023</v>
      </c>
      <c r="M1036">
        <f>HOUR(Table1[[#This Row],[Time]])</f>
        <v>21</v>
      </c>
    </row>
    <row r="1037" spans="1:13" x14ac:dyDescent="0.3">
      <c r="A1037">
        <v>2036</v>
      </c>
      <c r="B1037" s="3">
        <v>45241.211843206016</v>
      </c>
      <c r="C1037" s="1">
        <v>45241.211843206016</v>
      </c>
      <c r="D1037" t="s">
        <v>259</v>
      </c>
      <c r="E1037" t="s">
        <v>14</v>
      </c>
      <c r="F1037" t="s">
        <v>18</v>
      </c>
      <c r="G1037" t="s">
        <v>33</v>
      </c>
      <c r="H1037">
        <v>1</v>
      </c>
      <c r="I1037">
        <v>763</v>
      </c>
      <c r="J1037">
        <v>763</v>
      </c>
      <c r="K1037" t="str">
        <f>TEXT(Table1[[#This Row],[Date]],"dddd")</f>
        <v>Saturday</v>
      </c>
      <c r="L1037" t="str">
        <f>TEXT(Table1[[#This Row],[Date]],"mmm-yyyy")</f>
        <v>Nov-2023</v>
      </c>
      <c r="M1037">
        <f>HOUR(Table1[[#This Row],[Time]])</f>
        <v>5</v>
      </c>
    </row>
    <row r="1038" spans="1:13" x14ac:dyDescent="0.3">
      <c r="A1038">
        <v>2037</v>
      </c>
      <c r="B1038" s="3">
        <v>45241.515429525462</v>
      </c>
      <c r="C1038" s="1">
        <v>45241.515429525462</v>
      </c>
      <c r="D1038" t="s">
        <v>309</v>
      </c>
      <c r="E1038" t="s">
        <v>14</v>
      </c>
      <c r="F1038" t="s">
        <v>11</v>
      </c>
      <c r="G1038" t="s">
        <v>19</v>
      </c>
      <c r="H1038">
        <v>2</v>
      </c>
      <c r="I1038">
        <v>630</v>
      </c>
      <c r="J1038">
        <v>1260</v>
      </c>
      <c r="K1038" t="str">
        <f>TEXT(Table1[[#This Row],[Date]],"dddd")</f>
        <v>Saturday</v>
      </c>
      <c r="L1038" t="str">
        <f>TEXT(Table1[[#This Row],[Date]],"mmm-yyyy")</f>
        <v>Nov-2023</v>
      </c>
      <c r="M1038">
        <f>HOUR(Table1[[#This Row],[Time]])</f>
        <v>12</v>
      </c>
    </row>
    <row r="1039" spans="1:13" x14ac:dyDescent="0.3">
      <c r="A1039">
        <v>2038</v>
      </c>
      <c r="B1039" s="3">
        <v>45241.819015844907</v>
      </c>
      <c r="C1039" s="1">
        <v>45241.819015844907</v>
      </c>
      <c r="D1039" t="s">
        <v>27</v>
      </c>
      <c r="E1039" t="s">
        <v>28</v>
      </c>
      <c r="F1039" t="s">
        <v>18</v>
      </c>
      <c r="G1039" t="s">
        <v>22</v>
      </c>
      <c r="H1039">
        <v>3</v>
      </c>
      <c r="I1039">
        <v>711</v>
      </c>
      <c r="J1039">
        <v>2133</v>
      </c>
      <c r="K1039" t="str">
        <f>TEXT(Table1[[#This Row],[Date]],"dddd")</f>
        <v>Saturday</v>
      </c>
      <c r="L1039" t="str">
        <f>TEXT(Table1[[#This Row],[Date]],"mmm-yyyy")</f>
        <v>Nov-2023</v>
      </c>
      <c r="M1039">
        <f>HOUR(Table1[[#This Row],[Time]])</f>
        <v>19</v>
      </c>
    </row>
    <row r="1040" spans="1:13" x14ac:dyDescent="0.3">
      <c r="A1040">
        <v>2039</v>
      </c>
      <c r="B1040" s="3">
        <v>45242.122602164352</v>
      </c>
      <c r="C1040" s="1">
        <v>45242.122602164352</v>
      </c>
      <c r="D1040" t="s">
        <v>128</v>
      </c>
      <c r="E1040" t="s">
        <v>14</v>
      </c>
      <c r="F1040" t="s">
        <v>39</v>
      </c>
      <c r="G1040" t="s">
        <v>33</v>
      </c>
      <c r="H1040">
        <v>2</v>
      </c>
      <c r="I1040">
        <v>159</v>
      </c>
      <c r="J1040">
        <v>318</v>
      </c>
      <c r="K1040" t="str">
        <f>TEXT(Table1[[#This Row],[Date]],"dddd")</f>
        <v>Sunday</v>
      </c>
      <c r="L1040" t="str">
        <f>TEXT(Table1[[#This Row],[Date]],"mmm-yyyy")</f>
        <v>Nov-2023</v>
      </c>
      <c r="M1040">
        <f>HOUR(Table1[[#This Row],[Time]])</f>
        <v>2</v>
      </c>
    </row>
    <row r="1041" spans="1:13" x14ac:dyDescent="0.3">
      <c r="A1041">
        <v>2040</v>
      </c>
      <c r="B1041" s="3">
        <v>45242.426188495374</v>
      </c>
      <c r="C1041" s="1">
        <v>45242.426188495374</v>
      </c>
      <c r="D1041" t="s">
        <v>212</v>
      </c>
      <c r="E1041" t="s">
        <v>17</v>
      </c>
      <c r="F1041" t="s">
        <v>39</v>
      </c>
      <c r="G1041" t="s">
        <v>35</v>
      </c>
      <c r="H1041">
        <v>2</v>
      </c>
      <c r="I1041">
        <v>266</v>
      </c>
      <c r="J1041">
        <v>532</v>
      </c>
      <c r="K1041" t="str">
        <f>TEXT(Table1[[#This Row],[Date]],"dddd")</f>
        <v>Sunday</v>
      </c>
      <c r="L1041" t="str">
        <f>TEXT(Table1[[#This Row],[Date]],"mmm-yyyy")</f>
        <v>Nov-2023</v>
      </c>
      <c r="M1041">
        <f>HOUR(Table1[[#This Row],[Time]])</f>
        <v>10</v>
      </c>
    </row>
    <row r="1042" spans="1:13" x14ac:dyDescent="0.3">
      <c r="A1042">
        <v>2041</v>
      </c>
      <c r="B1042" s="3">
        <v>45242.729774814812</v>
      </c>
      <c r="C1042" s="1">
        <v>45242.729774814812</v>
      </c>
      <c r="D1042" t="s">
        <v>187</v>
      </c>
      <c r="E1042" t="s">
        <v>14</v>
      </c>
      <c r="F1042" t="s">
        <v>39</v>
      </c>
      <c r="G1042" t="s">
        <v>42</v>
      </c>
      <c r="H1042">
        <v>3</v>
      </c>
      <c r="I1042">
        <v>301</v>
      </c>
      <c r="J1042">
        <v>903</v>
      </c>
      <c r="K1042" t="str">
        <f>TEXT(Table1[[#This Row],[Date]],"dddd")</f>
        <v>Sunday</v>
      </c>
      <c r="L1042" t="str">
        <f>TEXT(Table1[[#This Row],[Date]],"mmm-yyyy")</f>
        <v>Nov-2023</v>
      </c>
      <c r="M1042">
        <f>HOUR(Table1[[#This Row],[Time]])</f>
        <v>17</v>
      </c>
    </row>
    <row r="1043" spans="1:13" x14ac:dyDescent="0.3">
      <c r="A1043">
        <v>2042</v>
      </c>
      <c r="B1043" s="3">
        <v>45243.033361134258</v>
      </c>
      <c r="C1043" s="1">
        <v>45243.033361134258</v>
      </c>
      <c r="D1043" t="s">
        <v>60</v>
      </c>
      <c r="E1043" t="s">
        <v>17</v>
      </c>
      <c r="F1043" t="s">
        <v>39</v>
      </c>
      <c r="G1043" t="s">
        <v>56</v>
      </c>
      <c r="H1043">
        <v>2</v>
      </c>
      <c r="I1043">
        <v>956</v>
      </c>
      <c r="J1043">
        <v>1912</v>
      </c>
      <c r="K1043" t="str">
        <f>TEXT(Table1[[#This Row],[Date]],"dddd")</f>
        <v>Monday</v>
      </c>
      <c r="L1043" t="str">
        <f>TEXT(Table1[[#This Row],[Date]],"mmm-yyyy")</f>
        <v>Nov-2023</v>
      </c>
      <c r="M1043">
        <f>HOUR(Table1[[#This Row],[Time]])</f>
        <v>0</v>
      </c>
    </row>
    <row r="1044" spans="1:13" x14ac:dyDescent="0.3">
      <c r="A1044">
        <v>2043</v>
      </c>
      <c r="B1044" s="3">
        <v>45243.336947453703</v>
      </c>
      <c r="C1044" s="1">
        <v>45243.336947453703</v>
      </c>
      <c r="D1044" t="s">
        <v>211</v>
      </c>
      <c r="E1044" t="s">
        <v>28</v>
      </c>
      <c r="F1044" t="s">
        <v>39</v>
      </c>
      <c r="G1044" t="s">
        <v>19</v>
      </c>
      <c r="H1044">
        <v>3</v>
      </c>
      <c r="I1044">
        <v>245</v>
      </c>
      <c r="J1044">
        <v>735</v>
      </c>
      <c r="K1044" t="str">
        <f>TEXT(Table1[[#This Row],[Date]],"dddd")</f>
        <v>Monday</v>
      </c>
      <c r="L1044" t="str">
        <f>TEXT(Table1[[#This Row],[Date]],"mmm-yyyy")</f>
        <v>Nov-2023</v>
      </c>
      <c r="M1044">
        <f>HOUR(Table1[[#This Row],[Time]])</f>
        <v>8</v>
      </c>
    </row>
    <row r="1045" spans="1:13" x14ac:dyDescent="0.3">
      <c r="A1045">
        <v>2044</v>
      </c>
      <c r="B1045" s="3">
        <v>45243.640533773148</v>
      </c>
      <c r="C1045" s="1">
        <v>45243.640533773148</v>
      </c>
      <c r="D1045" t="s">
        <v>269</v>
      </c>
      <c r="E1045" t="s">
        <v>28</v>
      </c>
      <c r="F1045" t="s">
        <v>15</v>
      </c>
      <c r="G1045" t="s">
        <v>42</v>
      </c>
      <c r="H1045">
        <v>1</v>
      </c>
      <c r="I1045">
        <v>775</v>
      </c>
      <c r="J1045">
        <v>775</v>
      </c>
      <c r="K1045" t="str">
        <f>TEXT(Table1[[#This Row],[Date]],"dddd")</f>
        <v>Monday</v>
      </c>
      <c r="L1045" t="str">
        <f>TEXT(Table1[[#This Row],[Date]],"mmm-yyyy")</f>
        <v>Nov-2023</v>
      </c>
      <c r="M1045">
        <f>HOUR(Table1[[#This Row],[Time]])</f>
        <v>15</v>
      </c>
    </row>
    <row r="1046" spans="1:13" x14ac:dyDescent="0.3">
      <c r="A1046">
        <v>2045</v>
      </c>
      <c r="B1046" s="3">
        <v>45243.94412010417</v>
      </c>
      <c r="C1046" s="1">
        <v>45243.94412010417</v>
      </c>
      <c r="D1046" t="s">
        <v>123</v>
      </c>
      <c r="E1046" t="s">
        <v>17</v>
      </c>
      <c r="F1046" t="s">
        <v>18</v>
      </c>
      <c r="G1046" t="s">
        <v>40</v>
      </c>
      <c r="H1046">
        <v>3</v>
      </c>
      <c r="I1046">
        <v>538</v>
      </c>
      <c r="J1046">
        <v>1614</v>
      </c>
      <c r="K1046" t="str">
        <f>TEXT(Table1[[#This Row],[Date]],"dddd")</f>
        <v>Monday</v>
      </c>
      <c r="L1046" t="str">
        <f>TEXT(Table1[[#This Row],[Date]],"mmm-yyyy")</f>
        <v>Nov-2023</v>
      </c>
      <c r="M1046">
        <f>HOUR(Table1[[#This Row],[Time]])</f>
        <v>22</v>
      </c>
    </row>
    <row r="1047" spans="1:13" x14ac:dyDescent="0.3">
      <c r="A1047">
        <v>2046</v>
      </c>
      <c r="B1047" s="3">
        <v>45244.247706423608</v>
      </c>
      <c r="C1047" s="1">
        <v>45244.247706423608</v>
      </c>
      <c r="D1047" t="s">
        <v>262</v>
      </c>
      <c r="E1047" t="s">
        <v>17</v>
      </c>
      <c r="F1047" t="s">
        <v>11</v>
      </c>
      <c r="G1047" t="s">
        <v>56</v>
      </c>
      <c r="H1047">
        <v>3</v>
      </c>
      <c r="I1047">
        <v>341</v>
      </c>
      <c r="J1047">
        <v>1023</v>
      </c>
      <c r="K1047" t="str">
        <f>TEXT(Table1[[#This Row],[Date]],"dddd")</f>
        <v>Tuesday</v>
      </c>
      <c r="L1047" t="str">
        <f>TEXT(Table1[[#This Row],[Date]],"mmm-yyyy")</f>
        <v>Nov-2023</v>
      </c>
      <c r="M1047">
        <f>HOUR(Table1[[#This Row],[Time]])</f>
        <v>5</v>
      </c>
    </row>
    <row r="1048" spans="1:13" x14ac:dyDescent="0.3">
      <c r="A1048">
        <v>2047</v>
      </c>
      <c r="B1048" s="3">
        <v>45244.551292743054</v>
      </c>
      <c r="C1048" s="1">
        <v>45244.551292743054</v>
      </c>
      <c r="D1048" t="s">
        <v>218</v>
      </c>
      <c r="E1048" t="s">
        <v>17</v>
      </c>
      <c r="F1048" t="s">
        <v>15</v>
      </c>
      <c r="G1048" t="s">
        <v>25</v>
      </c>
      <c r="H1048">
        <v>4</v>
      </c>
      <c r="I1048">
        <v>680</v>
      </c>
      <c r="J1048">
        <v>2720</v>
      </c>
      <c r="K1048" t="str">
        <f>TEXT(Table1[[#This Row],[Date]],"dddd")</f>
        <v>Tuesday</v>
      </c>
      <c r="L1048" t="str">
        <f>TEXT(Table1[[#This Row],[Date]],"mmm-yyyy")</f>
        <v>Nov-2023</v>
      </c>
      <c r="M1048">
        <f>HOUR(Table1[[#This Row],[Time]])</f>
        <v>13</v>
      </c>
    </row>
    <row r="1049" spans="1:13" x14ac:dyDescent="0.3">
      <c r="A1049">
        <v>2048</v>
      </c>
      <c r="B1049" s="3">
        <v>45244.854879062499</v>
      </c>
      <c r="C1049" s="1">
        <v>45244.854879062499</v>
      </c>
      <c r="D1049" t="s">
        <v>45</v>
      </c>
      <c r="E1049" t="s">
        <v>14</v>
      </c>
      <c r="F1049" t="s">
        <v>15</v>
      </c>
      <c r="G1049" t="s">
        <v>35</v>
      </c>
      <c r="H1049">
        <v>3</v>
      </c>
      <c r="I1049">
        <v>786</v>
      </c>
      <c r="J1049">
        <v>2358</v>
      </c>
      <c r="K1049" t="str">
        <f>TEXT(Table1[[#This Row],[Date]],"dddd")</f>
        <v>Tuesday</v>
      </c>
      <c r="L1049" t="str">
        <f>TEXT(Table1[[#This Row],[Date]],"mmm-yyyy")</f>
        <v>Nov-2023</v>
      </c>
      <c r="M1049">
        <f>HOUR(Table1[[#This Row],[Time]])</f>
        <v>20</v>
      </c>
    </row>
    <row r="1050" spans="1:13" x14ac:dyDescent="0.3">
      <c r="A1050">
        <v>2049</v>
      </c>
      <c r="B1050" s="3">
        <v>45245.158465393521</v>
      </c>
      <c r="C1050" s="1">
        <v>45245.158465393521</v>
      </c>
      <c r="D1050" t="s">
        <v>266</v>
      </c>
      <c r="E1050" t="s">
        <v>28</v>
      </c>
      <c r="F1050" t="s">
        <v>15</v>
      </c>
      <c r="G1050" t="s">
        <v>19</v>
      </c>
      <c r="H1050">
        <v>3</v>
      </c>
      <c r="I1050">
        <v>660</v>
      </c>
      <c r="J1050">
        <v>1980</v>
      </c>
      <c r="K1050" t="str">
        <f>TEXT(Table1[[#This Row],[Date]],"dddd")</f>
        <v>Wednesday</v>
      </c>
      <c r="L1050" t="str">
        <f>TEXT(Table1[[#This Row],[Date]],"mmm-yyyy")</f>
        <v>Nov-2023</v>
      </c>
      <c r="M1050">
        <f>HOUR(Table1[[#This Row],[Time]])</f>
        <v>3</v>
      </c>
    </row>
    <row r="1051" spans="1:13" x14ac:dyDescent="0.3">
      <c r="A1051">
        <v>2050</v>
      </c>
      <c r="B1051" s="3">
        <v>45245.462051712966</v>
      </c>
      <c r="C1051" s="1">
        <v>45245.462051712966</v>
      </c>
      <c r="D1051" t="s">
        <v>295</v>
      </c>
      <c r="E1051" t="s">
        <v>14</v>
      </c>
      <c r="F1051" t="s">
        <v>15</v>
      </c>
      <c r="G1051" t="s">
        <v>40</v>
      </c>
      <c r="H1051">
        <v>1</v>
      </c>
      <c r="I1051">
        <v>582</v>
      </c>
      <c r="J1051">
        <v>582</v>
      </c>
      <c r="K1051" t="str">
        <f>TEXT(Table1[[#This Row],[Date]],"dddd")</f>
        <v>Wednesday</v>
      </c>
      <c r="L1051" t="str">
        <f>TEXT(Table1[[#This Row],[Date]],"mmm-yyyy")</f>
        <v>Nov-2023</v>
      </c>
      <c r="M1051">
        <f>HOUR(Table1[[#This Row],[Time]])</f>
        <v>11</v>
      </c>
    </row>
    <row r="1052" spans="1:13" x14ac:dyDescent="0.3">
      <c r="A1052">
        <v>2051</v>
      </c>
      <c r="B1052" s="3">
        <v>45245.765638032404</v>
      </c>
      <c r="C1052" s="1">
        <v>45245.765638032404</v>
      </c>
      <c r="D1052" t="s">
        <v>133</v>
      </c>
      <c r="E1052" t="s">
        <v>14</v>
      </c>
      <c r="F1052" t="s">
        <v>15</v>
      </c>
      <c r="G1052" t="s">
        <v>40</v>
      </c>
      <c r="H1052">
        <v>4</v>
      </c>
      <c r="I1052">
        <v>207</v>
      </c>
      <c r="J1052">
        <v>828</v>
      </c>
      <c r="K1052" t="str">
        <f>TEXT(Table1[[#This Row],[Date]],"dddd")</f>
        <v>Wednesday</v>
      </c>
      <c r="L1052" t="str">
        <f>TEXT(Table1[[#This Row],[Date]],"mmm-yyyy")</f>
        <v>Nov-2023</v>
      </c>
      <c r="M1052">
        <f>HOUR(Table1[[#This Row],[Time]])</f>
        <v>18</v>
      </c>
    </row>
    <row r="1053" spans="1:13" x14ac:dyDescent="0.3">
      <c r="A1053">
        <v>2052</v>
      </c>
      <c r="B1053" s="3">
        <v>45246.06922435185</v>
      </c>
      <c r="C1053" s="1">
        <v>45246.06922435185</v>
      </c>
      <c r="D1053" t="s">
        <v>168</v>
      </c>
      <c r="E1053" t="s">
        <v>17</v>
      </c>
      <c r="F1053" t="s">
        <v>18</v>
      </c>
      <c r="G1053" t="s">
        <v>12</v>
      </c>
      <c r="H1053">
        <v>5</v>
      </c>
      <c r="I1053">
        <v>325</v>
      </c>
      <c r="J1053">
        <v>1625</v>
      </c>
      <c r="K1053" t="str">
        <f>TEXT(Table1[[#This Row],[Date]],"dddd")</f>
        <v>Thursday</v>
      </c>
      <c r="L1053" t="str">
        <f>TEXT(Table1[[#This Row],[Date]],"mmm-yyyy")</f>
        <v>Nov-2023</v>
      </c>
      <c r="M1053">
        <f>HOUR(Table1[[#This Row],[Time]])</f>
        <v>1</v>
      </c>
    </row>
    <row r="1054" spans="1:13" x14ac:dyDescent="0.3">
      <c r="A1054">
        <v>2053</v>
      </c>
      <c r="B1054" s="3">
        <v>45246.372810671295</v>
      </c>
      <c r="C1054" s="1">
        <v>45246.372810671295</v>
      </c>
      <c r="D1054" t="s">
        <v>120</v>
      </c>
      <c r="E1054" t="s">
        <v>14</v>
      </c>
      <c r="F1054" t="s">
        <v>11</v>
      </c>
      <c r="G1054" t="s">
        <v>29</v>
      </c>
      <c r="H1054">
        <v>1</v>
      </c>
      <c r="I1054">
        <v>772</v>
      </c>
      <c r="J1054">
        <v>772</v>
      </c>
      <c r="K1054" t="str">
        <f>TEXT(Table1[[#This Row],[Date]],"dddd")</f>
        <v>Thursday</v>
      </c>
      <c r="L1054" t="str">
        <f>TEXT(Table1[[#This Row],[Date]],"mmm-yyyy")</f>
        <v>Nov-2023</v>
      </c>
      <c r="M1054">
        <f>HOUR(Table1[[#This Row],[Time]])</f>
        <v>8</v>
      </c>
    </row>
    <row r="1055" spans="1:13" x14ac:dyDescent="0.3">
      <c r="A1055">
        <v>2054</v>
      </c>
      <c r="B1055" s="3">
        <v>45246.676397002317</v>
      </c>
      <c r="C1055" s="1">
        <v>45246.676397002317</v>
      </c>
      <c r="D1055" t="s">
        <v>171</v>
      </c>
      <c r="E1055" t="s">
        <v>10</v>
      </c>
      <c r="F1055" t="s">
        <v>18</v>
      </c>
      <c r="G1055" t="s">
        <v>22</v>
      </c>
      <c r="H1055">
        <v>1</v>
      </c>
      <c r="I1055">
        <v>730</v>
      </c>
      <c r="J1055">
        <v>730</v>
      </c>
      <c r="K1055" t="str">
        <f>TEXT(Table1[[#This Row],[Date]],"dddd")</f>
        <v>Thursday</v>
      </c>
      <c r="L1055" t="str">
        <f>TEXT(Table1[[#This Row],[Date]],"mmm-yyyy")</f>
        <v>Nov-2023</v>
      </c>
      <c r="M1055">
        <f>HOUR(Table1[[#This Row],[Time]])</f>
        <v>16</v>
      </c>
    </row>
    <row r="1056" spans="1:13" x14ac:dyDescent="0.3">
      <c r="A1056">
        <v>2055</v>
      </c>
      <c r="B1056" s="3">
        <v>45246.979983321762</v>
      </c>
      <c r="C1056" s="1">
        <v>45246.979983321762</v>
      </c>
      <c r="D1056" t="s">
        <v>59</v>
      </c>
      <c r="E1056" t="s">
        <v>10</v>
      </c>
      <c r="F1056" t="s">
        <v>11</v>
      </c>
      <c r="G1056" t="s">
        <v>40</v>
      </c>
      <c r="H1056">
        <v>5</v>
      </c>
      <c r="I1056">
        <v>760</v>
      </c>
      <c r="J1056">
        <v>3800</v>
      </c>
      <c r="K1056" t="str">
        <f>TEXT(Table1[[#This Row],[Date]],"dddd")</f>
        <v>Thursday</v>
      </c>
      <c r="L1056" t="str">
        <f>TEXT(Table1[[#This Row],[Date]],"mmm-yyyy")</f>
        <v>Nov-2023</v>
      </c>
      <c r="M1056">
        <f>HOUR(Table1[[#This Row],[Time]])</f>
        <v>23</v>
      </c>
    </row>
    <row r="1057" spans="1:13" x14ac:dyDescent="0.3">
      <c r="A1057">
        <v>2056</v>
      </c>
      <c r="B1057" s="3">
        <v>45247.2835696412</v>
      </c>
      <c r="C1057" s="1">
        <v>45247.2835696412</v>
      </c>
      <c r="D1057" t="s">
        <v>264</v>
      </c>
      <c r="E1057" t="s">
        <v>10</v>
      </c>
      <c r="F1057" t="s">
        <v>15</v>
      </c>
      <c r="G1057" t="s">
        <v>35</v>
      </c>
      <c r="H1057">
        <v>3</v>
      </c>
      <c r="I1057">
        <v>761</v>
      </c>
      <c r="J1057">
        <v>2283</v>
      </c>
      <c r="K1057" t="str">
        <f>TEXT(Table1[[#This Row],[Date]],"dddd")</f>
        <v>Friday</v>
      </c>
      <c r="L1057" t="str">
        <f>TEXT(Table1[[#This Row],[Date]],"mmm-yyyy")</f>
        <v>Nov-2023</v>
      </c>
      <c r="M1057">
        <f>HOUR(Table1[[#This Row],[Time]])</f>
        <v>6</v>
      </c>
    </row>
    <row r="1058" spans="1:13" x14ac:dyDescent="0.3">
      <c r="A1058">
        <v>2057</v>
      </c>
      <c r="B1058" s="3">
        <v>45247.587155960646</v>
      </c>
      <c r="C1058" s="1">
        <v>45247.587155960646</v>
      </c>
      <c r="D1058" t="s">
        <v>196</v>
      </c>
      <c r="E1058" t="s">
        <v>10</v>
      </c>
      <c r="F1058" t="s">
        <v>15</v>
      </c>
      <c r="G1058" t="s">
        <v>42</v>
      </c>
      <c r="H1058">
        <v>2</v>
      </c>
      <c r="I1058">
        <v>531</v>
      </c>
      <c r="J1058">
        <v>1062</v>
      </c>
      <c r="K1058" t="str">
        <f>TEXT(Table1[[#This Row],[Date]],"dddd")</f>
        <v>Friday</v>
      </c>
      <c r="L1058" t="str">
        <f>TEXT(Table1[[#This Row],[Date]],"mmm-yyyy")</f>
        <v>Nov-2023</v>
      </c>
      <c r="M1058">
        <f>HOUR(Table1[[#This Row],[Time]])</f>
        <v>14</v>
      </c>
    </row>
    <row r="1059" spans="1:13" x14ac:dyDescent="0.3">
      <c r="A1059">
        <v>2058</v>
      </c>
      <c r="B1059" s="3">
        <v>45247.890742280091</v>
      </c>
      <c r="C1059" s="1">
        <v>45247.890742280091</v>
      </c>
      <c r="D1059" t="s">
        <v>196</v>
      </c>
      <c r="E1059" t="s">
        <v>10</v>
      </c>
      <c r="F1059" t="s">
        <v>39</v>
      </c>
      <c r="G1059" t="s">
        <v>19</v>
      </c>
      <c r="H1059">
        <v>4</v>
      </c>
      <c r="I1059">
        <v>904</v>
      </c>
      <c r="J1059">
        <v>3616</v>
      </c>
      <c r="K1059" t="str">
        <f>TEXT(Table1[[#This Row],[Date]],"dddd")</f>
        <v>Friday</v>
      </c>
      <c r="L1059" t="str">
        <f>TEXT(Table1[[#This Row],[Date]],"mmm-yyyy")</f>
        <v>Nov-2023</v>
      </c>
      <c r="M1059">
        <f>HOUR(Table1[[#This Row],[Time]])</f>
        <v>21</v>
      </c>
    </row>
    <row r="1060" spans="1:13" x14ac:dyDescent="0.3">
      <c r="A1060">
        <v>2059</v>
      </c>
      <c r="B1060" s="3">
        <v>45248.194328611113</v>
      </c>
      <c r="C1060" s="1">
        <v>45248.194328611113</v>
      </c>
      <c r="D1060" t="s">
        <v>319</v>
      </c>
      <c r="E1060" t="s">
        <v>17</v>
      </c>
      <c r="F1060" t="s">
        <v>24</v>
      </c>
      <c r="G1060" t="s">
        <v>19</v>
      </c>
      <c r="H1060">
        <v>2</v>
      </c>
      <c r="I1060">
        <v>754</v>
      </c>
      <c r="J1060">
        <v>1508</v>
      </c>
      <c r="K1060" t="str">
        <f>TEXT(Table1[[#This Row],[Date]],"dddd")</f>
        <v>Saturday</v>
      </c>
      <c r="L1060" t="str">
        <f>TEXT(Table1[[#This Row],[Date]],"mmm-yyyy")</f>
        <v>Nov-2023</v>
      </c>
      <c r="M1060">
        <f>HOUR(Table1[[#This Row],[Time]])</f>
        <v>4</v>
      </c>
    </row>
    <row r="1061" spans="1:13" x14ac:dyDescent="0.3">
      <c r="A1061">
        <v>2060</v>
      </c>
      <c r="B1061" s="3">
        <v>45248.497914930558</v>
      </c>
      <c r="C1061" s="1">
        <v>45248.497914930558</v>
      </c>
      <c r="D1061" t="s">
        <v>101</v>
      </c>
      <c r="E1061" t="s">
        <v>14</v>
      </c>
      <c r="F1061" t="s">
        <v>24</v>
      </c>
      <c r="G1061" t="s">
        <v>35</v>
      </c>
      <c r="H1061">
        <v>5</v>
      </c>
      <c r="I1061">
        <v>518</v>
      </c>
      <c r="J1061">
        <v>2590</v>
      </c>
      <c r="K1061" t="str">
        <f>TEXT(Table1[[#This Row],[Date]],"dddd")</f>
        <v>Saturday</v>
      </c>
      <c r="L1061" t="str">
        <f>TEXT(Table1[[#This Row],[Date]],"mmm-yyyy")</f>
        <v>Nov-2023</v>
      </c>
      <c r="M1061">
        <f>HOUR(Table1[[#This Row],[Time]])</f>
        <v>11</v>
      </c>
    </row>
    <row r="1062" spans="1:13" x14ac:dyDescent="0.3">
      <c r="A1062">
        <v>2061</v>
      </c>
      <c r="B1062" s="3">
        <v>45248.801501249996</v>
      </c>
      <c r="C1062" s="1">
        <v>45248.801501249996</v>
      </c>
      <c r="D1062" t="s">
        <v>16</v>
      </c>
      <c r="E1062" t="s">
        <v>14</v>
      </c>
      <c r="F1062" t="s">
        <v>18</v>
      </c>
      <c r="G1062" t="s">
        <v>33</v>
      </c>
      <c r="H1062">
        <v>1</v>
      </c>
      <c r="I1062">
        <v>554</v>
      </c>
      <c r="J1062">
        <v>554</v>
      </c>
      <c r="K1062" t="str">
        <f>TEXT(Table1[[#This Row],[Date]],"dddd")</f>
        <v>Saturday</v>
      </c>
      <c r="L1062" t="str">
        <f>TEXT(Table1[[#This Row],[Date]],"mmm-yyyy")</f>
        <v>Nov-2023</v>
      </c>
      <c r="M1062">
        <f>HOUR(Table1[[#This Row],[Time]])</f>
        <v>19</v>
      </c>
    </row>
    <row r="1063" spans="1:13" x14ac:dyDescent="0.3">
      <c r="A1063">
        <v>2062</v>
      </c>
      <c r="B1063" s="3">
        <v>45249.105087569442</v>
      </c>
      <c r="C1063" s="1">
        <v>45249.105087569442</v>
      </c>
      <c r="D1063" t="s">
        <v>213</v>
      </c>
      <c r="E1063" t="s">
        <v>10</v>
      </c>
      <c r="F1063" t="s">
        <v>18</v>
      </c>
      <c r="G1063" t="s">
        <v>12</v>
      </c>
      <c r="H1063">
        <v>1</v>
      </c>
      <c r="I1063">
        <v>259</v>
      </c>
      <c r="J1063">
        <v>259</v>
      </c>
      <c r="K1063" t="str">
        <f>TEXT(Table1[[#This Row],[Date]],"dddd")</f>
        <v>Sunday</v>
      </c>
      <c r="L1063" t="str">
        <f>TEXT(Table1[[#This Row],[Date]],"mmm-yyyy")</f>
        <v>Nov-2023</v>
      </c>
      <c r="M1063">
        <f>HOUR(Table1[[#This Row],[Time]])</f>
        <v>2</v>
      </c>
    </row>
    <row r="1064" spans="1:13" x14ac:dyDescent="0.3">
      <c r="A1064">
        <v>2063</v>
      </c>
      <c r="B1064" s="3">
        <v>45249.408673900463</v>
      </c>
      <c r="C1064" s="1">
        <v>45249.408673900463</v>
      </c>
      <c r="D1064" t="s">
        <v>207</v>
      </c>
      <c r="E1064" t="s">
        <v>14</v>
      </c>
      <c r="F1064" t="s">
        <v>11</v>
      </c>
      <c r="G1064" t="s">
        <v>35</v>
      </c>
      <c r="H1064">
        <v>4</v>
      </c>
      <c r="I1064">
        <v>622</v>
      </c>
      <c r="J1064">
        <v>2488</v>
      </c>
      <c r="K1064" t="str">
        <f>TEXT(Table1[[#This Row],[Date]],"dddd")</f>
        <v>Sunday</v>
      </c>
      <c r="L1064" t="str">
        <f>TEXT(Table1[[#This Row],[Date]],"mmm-yyyy")</f>
        <v>Nov-2023</v>
      </c>
      <c r="M1064">
        <f>HOUR(Table1[[#This Row],[Time]])</f>
        <v>9</v>
      </c>
    </row>
    <row r="1065" spans="1:13" x14ac:dyDescent="0.3">
      <c r="A1065">
        <v>2064</v>
      </c>
      <c r="B1065" s="3">
        <v>45249.712260219909</v>
      </c>
      <c r="C1065" s="1">
        <v>45249.712260219909</v>
      </c>
      <c r="D1065" t="s">
        <v>188</v>
      </c>
      <c r="E1065" t="s">
        <v>10</v>
      </c>
      <c r="F1065" t="s">
        <v>39</v>
      </c>
      <c r="G1065" t="s">
        <v>42</v>
      </c>
      <c r="H1065">
        <v>1</v>
      </c>
      <c r="I1065">
        <v>749</v>
      </c>
      <c r="J1065">
        <v>749</v>
      </c>
      <c r="K1065" t="str">
        <f>TEXT(Table1[[#This Row],[Date]],"dddd")</f>
        <v>Sunday</v>
      </c>
      <c r="L1065" t="str">
        <f>TEXT(Table1[[#This Row],[Date]],"mmm-yyyy")</f>
        <v>Nov-2023</v>
      </c>
      <c r="M1065">
        <f>HOUR(Table1[[#This Row],[Time]])</f>
        <v>17</v>
      </c>
    </row>
    <row r="1066" spans="1:13" x14ac:dyDescent="0.3">
      <c r="A1066">
        <v>2065</v>
      </c>
      <c r="B1066" s="3">
        <v>45250.015846539354</v>
      </c>
      <c r="C1066" s="1">
        <v>45250.015846539354</v>
      </c>
      <c r="D1066" t="s">
        <v>318</v>
      </c>
      <c r="E1066" t="s">
        <v>14</v>
      </c>
      <c r="F1066" t="s">
        <v>11</v>
      </c>
      <c r="G1066" t="s">
        <v>56</v>
      </c>
      <c r="H1066">
        <v>1</v>
      </c>
      <c r="I1066">
        <v>689</v>
      </c>
      <c r="J1066">
        <v>689</v>
      </c>
      <c r="K1066" t="str">
        <f>TEXT(Table1[[#This Row],[Date]],"dddd")</f>
        <v>Monday</v>
      </c>
      <c r="L1066" t="str">
        <f>TEXT(Table1[[#This Row],[Date]],"mmm-yyyy")</f>
        <v>Nov-2023</v>
      </c>
      <c r="M1066">
        <f>HOUR(Table1[[#This Row],[Time]])</f>
        <v>0</v>
      </c>
    </row>
    <row r="1067" spans="1:13" x14ac:dyDescent="0.3">
      <c r="A1067">
        <v>2066</v>
      </c>
      <c r="B1067" s="3">
        <v>45250.3194328588</v>
      </c>
      <c r="C1067" s="1">
        <v>45250.3194328588</v>
      </c>
      <c r="D1067" t="s">
        <v>193</v>
      </c>
      <c r="E1067" t="s">
        <v>17</v>
      </c>
      <c r="F1067" t="s">
        <v>39</v>
      </c>
      <c r="G1067" t="s">
        <v>25</v>
      </c>
      <c r="H1067">
        <v>4</v>
      </c>
      <c r="I1067">
        <v>176</v>
      </c>
      <c r="J1067">
        <v>704</v>
      </c>
      <c r="K1067" t="str">
        <f>TEXT(Table1[[#This Row],[Date]],"dddd")</f>
        <v>Monday</v>
      </c>
      <c r="L1067" t="str">
        <f>TEXT(Table1[[#This Row],[Date]],"mmm-yyyy")</f>
        <v>Nov-2023</v>
      </c>
      <c r="M1067">
        <f>HOUR(Table1[[#This Row],[Time]])</f>
        <v>7</v>
      </c>
    </row>
    <row r="1068" spans="1:13" x14ac:dyDescent="0.3">
      <c r="A1068">
        <v>2067</v>
      </c>
      <c r="B1068" s="3">
        <v>45250.623019178238</v>
      </c>
      <c r="C1068" s="1">
        <v>45250.623019178238</v>
      </c>
      <c r="D1068" t="s">
        <v>93</v>
      </c>
      <c r="E1068" t="s">
        <v>28</v>
      </c>
      <c r="F1068" t="s">
        <v>24</v>
      </c>
      <c r="G1068" t="s">
        <v>25</v>
      </c>
      <c r="H1068">
        <v>4</v>
      </c>
      <c r="I1068">
        <v>608</v>
      </c>
      <c r="J1068">
        <v>2432</v>
      </c>
      <c r="K1068" t="str">
        <f>TEXT(Table1[[#This Row],[Date]],"dddd")</f>
        <v>Monday</v>
      </c>
      <c r="L1068" t="str">
        <f>TEXT(Table1[[#This Row],[Date]],"mmm-yyyy")</f>
        <v>Nov-2023</v>
      </c>
      <c r="M1068">
        <f>HOUR(Table1[[#This Row],[Time]])</f>
        <v>14</v>
      </c>
    </row>
    <row r="1069" spans="1:13" x14ac:dyDescent="0.3">
      <c r="A1069">
        <v>2068</v>
      </c>
      <c r="B1069" s="3">
        <v>45250.926605509259</v>
      </c>
      <c r="C1069" s="1">
        <v>45250.926605509259</v>
      </c>
      <c r="D1069" t="s">
        <v>283</v>
      </c>
      <c r="E1069" t="s">
        <v>10</v>
      </c>
      <c r="F1069" t="s">
        <v>24</v>
      </c>
      <c r="G1069" t="s">
        <v>42</v>
      </c>
      <c r="H1069">
        <v>5</v>
      </c>
      <c r="I1069">
        <v>540</v>
      </c>
      <c r="J1069">
        <v>2700</v>
      </c>
      <c r="K1069" t="str">
        <f>TEXT(Table1[[#This Row],[Date]],"dddd")</f>
        <v>Monday</v>
      </c>
      <c r="L1069" t="str">
        <f>TEXT(Table1[[#This Row],[Date]],"mmm-yyyy")</f>
        <v>Nov-2023</v>
      </c>
      <c r="M1069">
        <f>HOUR(Table1[[#This Row],[Time]])</f>
        <v>22</v>
      </c>
    </row>
    <row r="1070" spans="1:13" x14ac:dyDescent="0.3">
      <c r="A1070">
        <v>2069</v>
      </c>
      <c r="B1070" s="3">
        <v>45251.230191828705</v>
      </c>
      <c r="C1070" s="1">
        <v>45251.230191828705</v>
      </c>
      <c r="D1070" t="s">
        <v>47</v>
      </c>
      <c r="E1070" t="s">
        <v>17</v>
      </c>
      <c r="F1070" t="s">
        <v>39</v>
      </c>
      <c r="G1070" t="s">
        <v>29</v>
      </c>
      <c r="H1070">
        <v>1</v>
      </c>
      <c r="I1070">
        <v>353</v>
      </c>
      <c r="J1070">
        <v>353</v>
      </c>
      <c r="K1070" t="str">
        <f>TEXT(Table1[[#This Row],[Date]],"dddd")</f>
        <v>Tuesday</v>
      </c>
      <c r="L1070" t="str">
        <f>TEXT(Table1[[#This Row],[Date]],"mmm-yyyy")</f>
        <v>Nov-2023</v>
      </c>
      <c r="M1070">
        <f>HOUR(Table1[[#This Row],[Time]])</f>
        <v>5</v>
      </c>
    </row>
    <row r="1071" spans="1:13" x14ac:dyDescent="0.3">
      <c r="A1071">
        <v>2070</v>
      </c>
      <c r="B1071" s="3">
        <v>45251.53377814815</v>
      </c>
      <c r="C1071" s="1">
        <v>45251.53377814815</v>
      </c>
      <c r="D1071" t="s">
        <v>175</v>
      </c>
      <c r="E1071" t="s">
        <v>17</v>
      </c>
      <c r="F1071" t="s">
        <v>11</v>
      </c>
      <c r="G1071" t="s">
        <v>33</v>
      </c>
      <c r="H1071">
        <v>1</v>
      </c>
      <c r="I1071">
        <v>869</v>
      </c>
      <c r="J1071">
        <v>869</v>
      </c>
      <c r="K1071" t="str">
        <f>TEXT(Table1[[#This Row],[Date]],"dddd")</f>
        <v>Tuesday</v>
      </c>
      <c r="L1071" t="str">
        <f>TEXT(Table1[[#This Row],[Date]],"mmm-yyyy")</f>
        <v>Nov-2023</v>
      </c>
      <c r="M1071">
        <f>HOUR(Table1[[#This Row],[Time]])</f>
        <v>12</v>
      </c>
    </row>
    <row r="1072" spans="1:13" x14ac:dyDescent="0.3">
      <c r="A1072">
        <v>2071</v>
      </c>
      <c r="B1072" s="3">
        <v>45251.837364467596</v>
      </c>
      <c r="C1072" s="1">
        <v>45251.837364467596</v>
      </c>
      <c r="D1072" t="s">
        <v>123</v>
      </c>
      <c r="E1072" t="s">
        <v>10</v>
      </c>
      <c r="F1072" t="s">
        <v>18</v>
      </c>
      <c r="G1072" t="s">
        <v>12</v>
      </c>
      <c r="H1072">
        <v>5</v>
      </c>
      <c r="I1072">
        <v>419</v>
      </c>
      <c r="J1072">
        <v>2095</v>
      </c>
      <c r="K1072" t="str">
        <f>TEXT(Table1[[#This Row],[Date]],"dddd")</f>
        <v>Tuesday</v>
      </c>
      <c r="L1072" t="str">
        <f>TEXT(Table1[[#This Row],[Date]],"mmm-yyyy")</f>
        <v>Nov-2023</v>
      </c>
      <c r="M1072">
        <f>HOUR(Table1[[#This Row],[Time]])</f>
        <v>20</v>
      </c>
    </row>
    <row r="1073" spans="1:13" x14ac:dyDescent="0.3">
      <c r="A1073">
        <v>2072</v>
      </c>
      <c r="B1073" s="3">
        <v>45252.140950787034</v>
      </c>
      <c r="C1073" s="1">
        <v>45252.140950787034</v>
      </c>
      <c r="D1073" t="s">
        <v>111</v>
      </c>
      <c r="E1073" t="s">
        <v>10</v>
      </c>
      <c r="F1073" t="s">
        <v>39</v>
      </c>
      <c r="G1073" t="s">
        <v>29</v>
      </c>
      <c r="H1073">
        <v>3</v>
      </c>
      <c r="I1073">
        <v>902</v>
      </c>
      <c r="J1073">
        <v>2706</v>
      </c>
      <c r="K1073" t="str">
        <f>TEXT(Table1[[#This Row],[Date]],"dddd")</f>
        <v>Wednesday</v>
      </c>
      <c r="L1073" t="str">
        <f>TEXT(Table1[[#This Row],[Date]],"mmm-yyyy")</f>
        <v>Nov-2023</v>
      </c>
      <c r="M1073">
        <f>HOUR(Table1[[#This Row],[Time]])</f>
        <v>3</v>
      </c>
    </row>
    <row r="1074" spans="1:13" x14ac:dyDescent="0.3">
      <c r="A1074">
        <v>2073</v>
      </c>
      <c r="B1074" s="3">
        <v>45252.444537118055</v>
      </c>
      <c r="C1074" s="1">
        <v>45252.444537118055</v>
      </c>
      <c r="D1074" t="s">
        <v>58</v>
      </c>
      <c r="E1074" t="s">
        <v>17</v>
      </c>
      <c r="F1074" t="s">
        <v>39</v>
      </c>
      <c r="G1074" t="s">
        <v>42</v>
      </c>
      <c r="H1074">
        <v>3</v>
      </c>
      <c r="I1074">
        <v>362</v>
      </c>
      <c r="J1074">
        <v>1086</v>
      </c>
      <c r="K1074" t="str">
        <f>TEXT(Table1[[#This Row],[Date]],"dddd")</f>
        <v>Wednesday</v>
      </c>
      <c r="L1074" t="str">
        <f>TEXT(Table1[[#This Row],[Date]],"mmm-yyyy")</f>
        <v>Nov-2023</v>
      </c>
      <c r="M1074">
        <f>HOUR(Table1[[#This Row],[Time]])</f>
        <v>10</v>
      </c>
    </row>
    <row r="1075" spans="1:13" x14ac:dyDescent="0.3">
      <c r="A1075">
        <v>2074</v>
      </c>
      <c r="B1075" s="3">
        <v>45252.748123437501</v>
      </c>
      <c r="C1075" s="1">
        <v>45252.748123437501</v>
      </c>
      <c r="D1075" t="s">
        <v>206</v>
      </c>
      <c r="E1075" t="s">
        <v>10</v>
      </c>
      <c r="F1075" t="s">
        <v>39</v>
      </c>
      <c r="G1075" t="s">
        <v>35</v>
      </c>
      <c r="H1075">
        <v>3</v>
      </c>
      <c r="I1075">
        <v>696</v>
      </c>
      <c r="J1075">
        <v>2088</v>
      </c>
      <c r="K1075" t="str">
        <f>TEXT(Table1[[#This Row],[Date]],"dddd")</f>
        <v>Wednesday</v>
      </c>
      <c r="L1075" t="str">
        <f>TEXT(Table1[[#This Row],[Date]],"mmm-yyyy")</f>
        <v>Nov-2023</v>
      </c>
      <c r="M1075">
        <f>HOUR(Table1[[#This Row],[Time]])</f>
        <v>17</v>
      </c>
    </row>
    <row r="1076" spans="1:13" x14ac:dyDescent="0.3">
      <c r="A1076">
        <v>2075</v>
      </c>
      <c r="B1076" s="3">
        <v>45253.051709756946</v>
      </c>
      <c r="C1076" s="1">
        <v>45253.051709756946</v>
      </c>
      <c r="D1076" t="s">
        <v>250</v>
      </c>
      <c r="E1076" t="s">
        <v>10</v>
      </c>
      <c r="F1076" t="s">
        <v>11</v>
      </c>
      <c r="G1076" t="s">
        <v>33</v>
      </c>
      <c r="H1076">
        <v>5</v>
      </c>
      <c r="I1076">
        <v>757</v>
      </c>
      <c r="J1076">
        <v>3785</v>
      </c>
      <c r="K1076" t="str">
        <f>TEXT(Table1[[#This Row],[Date]],"dddd")</f>
        <v>Thursday</v>
      </c>
      <c r="L1076" t="str">
        <f>TEXT(Table1[[#This Row],[Date]],"mmm-yyyy")</f>
        <v>Nov-2023</v>
      </c>
      <c r="M1076">
        <f>HOUR(Table1[[#This Row],[Time]])</f>
        <v>1</v>
      </c>
    </row>
    <row r="1077" spans="1:13" x14ac:dyDescent="0.3">
      <c r="A1077">
        <v>2076</v>
      </c>
      <c r="B1077" s="3">
        <v>45253.355296076392</v>
      </c>
      <c r="C1077" s="1">
        <v>45253.355296076392</v>
      </c>
      <c r="D1077" t="s">
        <v>277</v>
      </c>
      <c r="E1077" t="s">
        <v>28</v>
      </c>
      <c r="F1077" t="s">
        <v>18</v>
      </c>
      <c r="G1077" t="s">
        <v>33</v>
      </c>
      <c r="H1077">
        <v>1</v>
      </c>
      <c r="I1077">
        <v>934</v>
      </c>
      <c r="J1077">
        <v>934</v>
      </c>
      <c r="K1077" t="str">
        <f>TEXT(Table1[[#This Row],[Date]],"dddd")</f>
        <v>Thursday</v>
      </c>
      <c r="L1077" t="str">
        <f>TEXT(Table1[[#This Row],[Date]],"mmm-yyyy")</f>
        <v>Nov-2023</v>
      </c>
      <c r="M1077">
        <f>HOUR(Table1[[#This Row],[Time]])</f>
        <v>8</v>
      </c>
    </row>
    <row r="1078" spans="1:13" x14ac:dyDescent="0.3">
      <c r="A1078">
        <v>2077</v>
      </c>
      <c r="B1078" s="3">
        <v>45253.658882407406</v>
      </c>
      <c r="C1078" s="1">
        <v>45253.658882407406</v>
      </c>
      <c r="D1078" t="s">
        <v>320</v>
      </c>
      <c r="E1078" t="s">
        <v>28</v>
      </c>
      <c r="F1078" t="s">
        <v>11</v>
      </c>
      <c r="G1078" t="s">
        <v>29</v>
      </c>
      <c r="H1078">
        <v>5</v>
      </c>
      <c r="I1078">
        <v>653</v>
      </c>
      <c r="J1078">
        <v>3265</v>
      </c>
      <c r="K1078" t="str">
        <f>TEXT(Table1[[#This Row],[Date]],"dddd")</f>
        <v>Thursday</v>
      </c>
      <c r="L1078" t="str">
        <f>TEXT(Table1[[#This Row],[Date]],"mmm-yyyy")</f>
        <v>Nov-2023</v>
      </c>
      <c r="M1078">
        <f>HOUR(Table1[[#This Row],[Time]])</f>
        <v>15</v>
      </c>
    </row>
    <row r="1079" spans="1:13" x14ac:dyDescent="0.3">
      <c r="A1079">
        <v>2078</v>
      </c>
      <c r="B1079" s="3">
        <v>45253.962468726852</v>
      </c>
      <c r="C1079" s="1">
        <v>45253.962468726852</v>
      </c>
      <c r="D1079" t="s">
        <v>197</v>
      </c>
      <c r="E1079" t="s">
        <v>10</v>
      </c>
      <c r="F1079" t="s">
        <v>15</v>
      </c>
      <c r="G1079" t="s">
        <v>35</v>
      </c>
      <c r="H1079">
        <v>5</v>
      </c>
      <c r="I1079">
        <v>473</v>
      </c>
      <c r="J1079">
        <v>2365</v>
      </c>
      <c r="K1079" t="str">
        <f>TEXT(Table1[[#This Row],[Date]],"dddd")</f>
        <v>Thursday</v>
      </c>
      <c r="L1079" t="str">
        <f>TEXT(Table1[[#This Row],[Date]],"mmm-yyyy")</f>
        <v>Nov-2023</v>
      </c>
      <c r="M1079">
        <f>HOUR(Table1[[#This Row],[Time]])</f>
        <v>23</v>
      </c>
    </row>
    <row r="1080" spans="1:13" x14ac:dyDescent="0.3">
      <c r="A1080">
        <v>2079</v>
      </c>
      <c r="B1080" s="3">
        <v>45254.266055046297</v>
      </c>
      <c r="C1080" s="1">
        <v>45254.266055046297</v>
      </c>
      <c r="D1080" t="s">
        <v>79</v>
      </c>
      <c r="E1080" t="s">
        <v>17</v>
      </c>
      <c r="F1080" t="s">
        <v>15</v>
      </c>
      <c r="G1080" t="s">
        <v>56</v>
      </c>
      <c r="H1080">
        <v>3</v>
      </c>
      <c r="I1080">
        <v>736</v>
      </c>
      <c r="J1080">
        <v>2208</v>
      </c>
      <c r="K1080" t="str">
        <f>TEXT(Table1[[#This Row],[Date]],"dddd")</f>
        <v>Friday</v>
      </c>
      <c r="L1080" t="str">
        <f>TEXT(Table1[[#This Row],[Date]],"mmm-yyyy")</f>
        <v>Nov-2023</v>
      </c>
      <c r="M1080">
        <f>HOUR(Table1[[#This Row],[Time]])</f>
        <v>6</v>
      </c>
    </row>
    <row r="1081" spans="1:13" x14ac:dyDescent="0.3">
      <c r="A1081">
        <v>2080</v>
      </c>
      <c r="B1081" s="3">
        <v>45254.569641365742</v>
      </c>
      <c r="C1081" s="1">
        <v>45254.569641365742</v>
      </c>
      <c r="D1081" t="s">
        <v>170</v>
      </c>
      <c r="E1081" t="s">
        <v>14</v>
      </c>
      <c r="F1081" t="s">
        <v>39</v>
      </c>
      <c r="G1081" t="s">
        <v>42</v>
      </c>
      <c r="H1081">
        <v>2</v>
      </c>
      <c r="I1081">
        <v>266</v>
      </c>
      <c r="J1081">
        <v>532</v>
      </c>
      <c r="K1081" t="str">
        <f>TEXT(Table1[[#This Row],[Date]],"dddd")</f>
        <v>Friday</v>
      </c>
      <c r="L1081" t="str">
        <f>TEXT(Table1[[#This Row],[Date]],"mmm-yyyy")</f>
        <v>Nov-2023</v>
      </c>
      <c r="M1081">
        <f>HOUR(Table1[[#This Row],[Time]])</f>
        <v>13</v>
      </c>
    </row>
    <row r="1082" spans="1:13" x14ac:dyDescent="0.3">
      <c r="A1082">
        <v>2081</v>
      </c>
      <c r="B1082" s="3">
        <v>45254.873227685188</v>
      </c>
      <c r="C1082" s="1">
        <v>45254.873227685188</v>
      </c>
      <c r="D1082" t="s">
        <v>114</v>
      </c>
      <c r="E1082" t="s">
        <v>10</v>
      </c>
      <c r="F1082" t="s">
        <v>39</v>
      </c>
      <c r="G1082" t="s">
        <v>22</v>
      </c>
      <c r="H1082">
        <v>1</v>
      </c>
      <c r="I1082">
        <v>852</v>
      </c>
      <c r="J1082">
        <v>852</v>
      </c>
      <c r="K1082" t="str">
        <f>TEXT(Table1[[#This Row],[Date]],"dddd")</f>
        <v>Friday</v>
      </c>
      <c r="L1082" t="str">
        <f>TEXT(Table1[[#This Row],[Date]],"mmm-yyyy")</f>
        <v>Nov-2023</v>
      </c>
      <c r="M1082">
        <f>HOUR(Table1[[#This Row],[Time]])</f>
        <v>20</v>
      </c>
    </row>
    <row r="1083" spans="1:13" x14ac:dyDescent="0.3">
      <c r="A1083">
        <v>2082</v>
      </c>
      <c r="B1083" s="3">
        <v>45255.176814016202</v>
      </c>
      <c r="C1083" s="1">
        <v>45255.176814016202</v>
      </c>
      <c r="D1083" t="s">
        <v>196</v>
      </c>
      <c r="E1083" t="s">
        <v>10</v>
      </c>
      <c r="F1083" t="s">
        <v>39</v>
      </c>
      <c r="G1083" t="s">
        <v>29</v>
      </c>
      <c r="H1083">
        <v>3</v>
      </c>
      <c r="I1083">
        <v>558</v>
      </c>
      <c r="J1083">
        <v>1674</v>
      </c>
      <c r="K1083" t="str">
        <f>TEXT(Table1[[#This Row],[Date]],"dddd")</f>
        <v>Saturday</v>
      </c>
      <c r="L1083" t="str">
        <f>TEXT(Table1[[#This Row],[Date]],"mmm-yyyy")</f>
        <v>Nov-2023</v>
      </c>
      <c r="M1083">
        <f>HOUR(Table1[[#This Row],[Time]])</f>
        <v>4</v>
      </c>
    </row>
    <row r="1084" spans="1:13" x14ac:dyDescent="0.3">
      <c r="A1084">
        <v>2083</v>
      </c>
      <c r="B1084" s="3">
        <v>45255.480400335648</v>
      </c>
      <c r="C1084" s="1">
        <v>45255.480400335648</v>
      </c>
      <c r="D1084" t="s">
        <v>252</v>
      </c>
      <c r="E1084" t="s">
        <v>14</v>
      </c>
      <c r="F1084" t="s">
        <v>18</v>
      </c>
      <c r="G1084" t="s">
        <v>42</v>
      </c>
      <c r="H1084">
        <v>2</v>
      </c>
      <c r="I1084">
        <v>379</v>
      </c>
      <c r="J1084">
        <v>758</v>
      </c>
      <c r="K1084" t="str">
        <f>TEXT(Table1[[#This Row],[Date]],"dddd")</f>
        <v>Saturday</v>
      </c>
      <c r="L1084" t="str">
        <f>TEXT(Table1[[#This Row],[Date]],"mmm-yyyy")</f>
        <v>Nov-2023</v>
      </c>
      <c r="M1084">
        <f>HOUR(Table1[[#This Row],[Time]])</f>
        <v>11</v>
      </c>
    </row>
    <row r="1085" spans="1:13" x14ac:dyDescent="0.3">
      <c r="A1085">
        <v>2084</v>
      </c>
      <c r="B1085" s="3">
        <v>45255.783986655093</v>
      </c>
      <c r="C1085" s="1">
        <v>45255.783986655093</v>
      </c>
      <c r="D1085" t="s">
        <v>263</v>
      </c>
      <c r="E1085" t="s">
        <v>14</v>
      </c>
      <c r="F1085" t="s">
        <v>18</v>
      </c>
      <c r="G1085" t="s">
        <v>56</v>
      </c>
      <c r="H1085">
        <v>2</v>
      </c>
      <c r="I1085">
        <v>799</v>
      </c>
      <c r="J1085">
        <v>1598</v>
      </c>
      <c r="K1085" t="str">
        <f>TEXT(Table1[[#This Row],[Date]],"dddd")</f>
        <v>Saturday</v>
      </c>
      <c r="L1085" t="str">
        <f>TEXT(Table1[[#This Row],[Date]],"mmm-yyyy")</f>
        <v>Nov-2023</v>
      </c>
      <c r="M1085">
        <f>HOUR(Table1[[#This Row],[Time]])</f>
        <v>18</v>
      </c>
    </row>
    <row r="1086" spans="1:13" x14ac:dyDescent="0.3">
      <c r="A1086">
        <v>2085</v>
      </c>
      <c r="B1086" s="3">
        <v>45256.087572974538</v>
      </c>
      <c r="C1086" s="1">
        <v>45256.087572974538</v>
      </c>
      <c r="D1086" t="s">
        <v>254</v>
      </c>
      <c r="E1086" t="s">
        <v>14</v>
      </c>
      <c r="F1086" t="s">
        <v>39</v>
      </c>
      <c r="G1086" t="s">
        <v>40</v>
      </c>
      <c r="H1086">
        <v>4</v>
      </c>
      <c r="I1086">
        <v>401</v>
      </c>
      <c r="J1086">
        <v>1604</v>
      </c>
      <c r="K1086" t="str">
        <f>TEXT(Table1[[#This Row],[Date]],"dddd")</f>
        <v>Sunday</v>
      </c>
      <c r="L1086" t="str">
        <f>TEXT(Table1[[#This Row],[Date]],"mmm-yyyy")</f>
        <v>Nov-2023</v>
      </c>
      <c r="M1086">
        <f>HOUR(Table1[[#This Row],[Time]])</f>
        <v>2</v>
      </c>
    </row>
    <row r="1087" spans="1:13" x14ac:dyDescent="0.3">
      <c r="A1087">
        <v>2086</v>
      </c>
      <c r="B1087" s="3">
        <v>45256.391159293984</v>
      </c>
      <c r="C1087" s="1">
        <v>45256.391159293984</v>
      </c>
      <c r="D1087" t="s">
        <v>155</v>
      </c>
      <c r="E1087" t="s">
        <v>28</v>
      </c>
      <c r="F1087" t="s">
        <v>18</v>
      </c>
      <c r="G1087" t="s">
        <v>12</v>
      </c>
      <c r="H1087">
        <v>1</v>
      </c>
      <c r="I1087">
        <v>630</v>
      </c>
      <c r="J1087">
        <v>630</v>
      </c>
      <c r="K1087" t="str">
        <f>TEXT(Table1[[#This Row],[Date]],"dddd")</f>
        <v>Sunday</v>
      </c>
      <c r="L1087" t="str">
        <f>TEXT(Table1[[#This Row],[Date]],"mmm-yyyy")</f>
        <v>Nov-2023</v>
      </c>
      <c r="M1087">
        <f>HOUR(Table1[[#This Row],[Time]])</f>
        <v>9</v>
      </c>
    </row>
    <row r="1088" spans="1:13" x14ac:dyDescent="0.3">
      <c r="A1088">
        <v>2087</v>
      </c>
      <c r="B1088" s="3">
        <v>45256.694745624998</v>
      </c>
      <c r="C1088" s="1">
        <v>45256.694745624998</v>
      </c>
      <c r="D1088" t="s">
        <v>170</v>
      </c>
      <c r="E1088" t="s">
        <v>28</v>
      </c>
      <c r="F1088" t="s">
        <v>24</v>
      </c>
      <c r="G1088" t="s">
        <v>19</v>
      </c>
      <c r="H1088">
        <v>2</v>
      </c>
      <c r="I1088">
        <v>679</v>
      </c>
      <c r="J1088">
        <v>1358</v>
      </c>
      <c r="K1088" t="str">
        <f>TEXT(Table1[[#This Row],[Date]],"dddd")</f>
        <v>Sunday</v>
      </c>
      <c r="L1088" t="str">
        <f>TEXT(Table1[[#This Row],[Date]],"mmm-yyyy")</f>
        <v>Nov-2023</v>
      </c>
      <c r="M1088">
        <f>HOUR(Table1[[#This Row],[Time]])</f>
        <v>16</v>
      </c>
    </row>
    <row r="1089" spans="1:13" x14ac:dyDescent="0.3">
      <c r="A1089">
        <v>2088</v>
      </c>
      <c r="B1089" s="3">
        <v>45256.998331944444</v>
      </c>
      <c r="C1089" s="1">
        <v>45256.998331944444</v>
      </c>
      <c r="D1089" t="s">
        <v>137</v>
      </c>
      <c r="E1089" t="s">
        <v>28</v>
      </c>
      <c r="F1089" t="s">
        <v>39</v>
      </c>
      <c r="G1089" t="s">
        <v>22</v>
      </c>
      <c r="H1089">
        <v>3</v>
      </c>
      <c r="I1089">
        <v>317</v>
      </c>
      <c r="J1089">
        <v>951</v>
      </c>
      <c r="K1089" t="str">
        <f>TEXT(Table1[[#This Row],[Date]],"dddd")</f>
        <v>Sunday</v>
      </c>
      <c r="L1089" t="str">
        <f>TEXT(Table1[[#This Row],[Date]],"mmm-yyyy")</f>
        <v>Nov-2023</v>
      </c>
      <c r="M1089">
        <f>HOUR(Table1[[#This Row],[Time]])</f>
        <v>23</v>
      </c>
    </row>
    <row r="1090" spans="1:13" x14ac:dyDescent="0.3">
      <c r="A1090">
        <v>2089</v>
      </c>
      <c r="B1090" s="3">
        <v>45257.301918263889</v>
      </c>
      <c r="C1090" s="1">
        <v>45257.301918263889</v>
      </c>
      <c r="D1090" t="s">
        <v>321</v>
      </c>
      <c r="E1090" t="s">
        <v>17</v>
      </c>
      <c r="F1090" t="s">
        <v>24</v>
      </c>
      <c r="G1090" t="s">
        <v>19</v>
      </c>
      <c r="H1090">
        <v>4</v>
      </c>
      <c r="I1090">
        <v>201</v>
      </c>
      <c r="J1090">
        <v>804</v>
      </c>
      <c r="K1090" t="str">
        <f>TEXT(Table1[[#This Row],[Date]],"dddd")</f>
        <v>Monday</v>
      </c>
      <c r="L1090" t="str">
        <f>TEXT(Table1[[#This Row],[Date]],"mmm-yyyy")</f>
        <v>Nov-2023</v>
      </c>
      <c r="M1090">
        <f>HOUR(Table1[[#This Row],[Time]])</f>
        <v>7</v>
      </c>
    </row>
    <row r="1091" spans="1:13" x14ac:dyDescent="0.3">
      <c r="A1091">
        <v>2090</v>
      </c>
      <c r="B1091" s="3">
        <v>45257.605504583335</v>
      </c>
      <c r="C1091" s="1">
        <v>45257.605504583335</v>
      </c>
      <c r="D1091" t="s">
        <v>138</v>
      </c>
      <c r="E1091" t="s">
        <v>10</v>
      </c>
      <c r="F1091" t="s">
        <v>11</v>
      </c>
      <c r="G1091" t="s">
        <v>19</v>
      </c>
      <c r="H1091">
        <v>1</v>
      </c>
      <c r="I1091">
        <v>653</v>
      </c>
      <c r="J1091">
        <v>653</v>
      </c>
      <c r="K1091" t="str">
        <f>TEXT(Table1[[#This Row],[Date]],"dddd")</f>
        <v>Monday</v>
      </c>
      <c r="L1091" t="str">
        <f>TEXT(Table1[[#This Row],[Date]],"mmm-yyyy")</f>
        <v>Nov-2023</v>
      </c>
      <c r="M1091">
        <f>HOUR(Table1[[#This Row],[Time]])</f>
        <v>14</v>
      </c>
    </row>
    <row r="1092" spans="1:13" x14ac:dyDescent="0.3">
      <c r="A1092">
        <v>2091</v>
      </c>
      <c r="B1092" s="3">
        <v>45257.909090914349</v>
      </c>
      <c r="C1092" s="1">
        <v>45257.909090914349</v>
      </c>
      <c r="D1092" t="s">
        <v>130</v>
      </c>
      <c r="E1092" t="s">
        <v>28</v>
      </c>
      <c r="F1092" t="s">
        <v>24</v>
      </c>
      <c r="G1092" t="s">
        <v>35</v>
      </c>
      <c r="H1092">
        <v>5</v>
      </c>
      <c r="I1092">
        <v>387</v>
      </c>
      <c r="J1092">
        <v>1935</v>
      </c>
      <c r="K1092" t="str">
        <f>TEXT(Table1[[#This Row],[Date]],"dddd")</f>
        <v>Monday</v>
      </c>
      <c r="L1092" t="str">
        <f>TEXT(Table1[[#This Row],[Date]],"mmm-yyyy")</f>
        <v>Nov-2023</v>
      </c>
      <c r="M1092">
        <f>HOUR(Table1[[#This Row],[Time]])</f>
        <v>21</v>
      </c>
    </row>
    <row r="1093" spans="1:13" x14ac:dyDescent="0.3">
      <c r="A1093">
        <v>2092</v>
      </c>
      <c r="B1093" s="3">
        <v>45258.212677233794</v>
      </c>
      <c r="C1093" s="1">
        <v>45258.212677233794</v>
      </c>
      <c r="D1093" t="s">
        <v>222</v>
      </c>
      <c r="E1093" t="s">
        <v>17</v>
      </c>
      <c r="F1093" t="s">
        <v>11</v>
      </c>
      <c r="G1093" t="s">
        <v>29</v>
      </c>
      <c r="H1093">
        <v>3</v>
      </c>
      <c r="I1093">
        <v>266</v>
      </c>
      <c r="J1093">
        <v>798</v>
      </c>
      <c r="K1093" t="str">
        <f>TEXT(Table1[[#This Row],[Date]],"dddd")</f>
        <v>Tuesday</v>
      </c>
      <c r="L1093" t="str">
        <f>TEXT(Table1[[#This Row],[Date]],"mmm-yyyy")</f>
        <v>Nov-2023</v>
      </c>
      <c r="M1093">
        <f>HOUR(Table1[[#This Row],[Time]])</f>
        <v>5</v>
      </c>
    </row>
    <row r="1094" spans="1:13" x14ac:dyDescent="0.3">
      <c r="A1094">
        <v>2093</v>
      </c>
      <c r="B1094" s="3">
        <v>45258.51626355324</v>
      </c>
      <c r="C1094" s="1">
        <v>45258.51626355324</v>
      </c>
      <c r="D1094" t="s">
        <v>154</v>
      </c>
      <c r="E1094" t="s">
        <v>17</v>
      </c>
      <c r="F1094" t="s">
        <v>11</v>
      </c>
      <c r="G1094" t="s">
        <v>33</v>
      </c>
      <c r="H1094">
        <v>2</v>
      </c>
      <c r="I1094">
        <v>720</v>
      </c>
      <c r="J1094">
        <v>1440</v>
      </c>
      <c r="K1094" t="str">
        <f>TEXT(Table1[[#This Row],[Date]],"dddd")</f>
        <v>Tuesday</v>
      </c>
      <c r="L1094" t="str">
        <f>TEXT(Table1[[#This Row],[Date]],"mmm-yyyy")</f>
        <v>Nov-2023</v>
      </c>
      <c r="M1094">
        <f>HOUR(Table1[[#This Row],[Time]])</f>
        <v>12</v>
      </c>
    </row>
    <row r="1095" spans="1:13" x14ac:dyDescent="0.3">
      <c r="A1095">
        <v>2094</v>
      </c>
      <c r="B1095" s="3">
        <v>45258.819849872685</v>
      </c>
      <c r="C1095" s="1">
        <v>45258.819849872685</v>
      </c>
      <c r="D1095" t="s">
        <v>288</v>
      </c>
      <c r="E1095" t="s">
        <v>14</v>
      </c>
      <c r="F1095" t="s">
        <v>39</v>
      </c>
      <c r="G1095" t="s">
        <v>42</v>
      </c>
      <c r="H1095">
        <v>2</v>
      </c>
      <c r="I1095">
        <v>135</v>
      </c>
      <c r="J1095">
        <v>270</v>
      </c>
      <c r="K1095" t="str">
        <f>TEXT(Table1[[#This Row],[Date]],"dddd")</f>
        <v>Tuesday</v>
      </c>
      <c r="L1095" t="str">
        <f>TEXT(Table1[[#This Row],[Date]],"mmm-yyyy")</f>
        <v>Nov-2023</v>
      </c>
      <c r="M1095">
        <f>HOUR(Table1[[#This Row],[Time]])</f>
        <v>19</v>
      </c>
    </row>
    <row r="1096" spans="1:13" x14ac:dyDescent="0.3">
      <c r="A1096">
        <v>2095</v>
      </c>
      <c r="B1096" s="3">
        <v>45259.123436192131</v>
      </c>
      <c r="C1096" s="1">
        <v>45259.123436192131</v>
      </c>
      <c r="D1096" t="s">
        <v>191</v>
      </c>
      <c r="E1096" t="s">
        <v>14</v>
      </c>
      <c r="F1096" t="s">
        <v>39</v>
      </c>
      <c r="G1096" t="s">
        <v>40</v>
      </c>
      <c r="H1096">
        <v>3</v>
      </c>
      <c r="I1096">
        <v>843</v>
      </c>
      <c r="J1096">
        <v>2529</v>
      </c>
      <c r="K1096" t="str">
        <f>TEXT(Table1[[#This Row],[Date]],"dddd")</f>
        <v>Wednesday</v>
      </c>
      <c r="L1096" t="str">
        <f>TEXT(Table1[[#This Row],[Date]],"mmm-yyyy")</f>
        <v>Nov-2023</v>
      </c>
      <c r="M1096">
        <f>HOUR(Table1[[#This Row],[Time]])</f>
        <v>2</v>
      </c>
    </row>
    <row r="1097" spans="1:13" x14ac:dyDescent="0.3">
      <c r="A1097">
        <v>2096</v>
      </c>
      <c r="B1097" s="3">
        <v>45259.427022523145</v>
      </c>
      <c r="C1097" s="1">
        <v>45259.427022523145</v>
      </c>
      <c r="D1097" t="s">
        <v>196</v>
      </c>
      <c r="E1097" t="s">
        <v>28</v>
      </c>
      <c r="F1097" t="s">
        <v>11</v>
      </c>
      <c r="G1097" t="s">
        <v>40</v>
      </c>
      <c r="H1097">
        <v>2</v>
      </c>
      <c r="I1097">
        <v>840</v>
      </c>
      <c r="J1097">
        <v>1680</v>
      </c>
      <c r="K1097" t="str">
        <f>TEXT(Table1[[#This Row],[Date]],"dddd")</f>
        <v>Wednesday</v>
      </c>
      <c r="L1097" t="str">
        <f>TEXT(Table1[[#This Row],[Date]],"mmm-yyyy")</f>
        <v>Nov-2023</v>
      </c>
      <c r="M1097">
        <f>HOUR(Table1[[#This Row],[Time]])</f>
        <v>10</v>
      </c>
    </row>
    <row r="1098" spans="1:13" x14ac:dyDescent="0.3">
      <c r="A1098">
        <v>2097</v>
      </c>
      <c r="B1098" s="3">
        <v>45259.73060884259</v>
      </c>
      <c r="C1098" s="1">
        <v>45259.73060884259</v>
      </c>
      <c r="D1098" t="s">
        <v>162</v>
      </c>
      <c r="E1098" t="s">
        <v>10</v>
      </c>
      <c r="F1098" t="s">
        <v>18</v>
      </c>
      <c r="G1098" t="s">
        <v>33</v>
      </c>
      <c r="H1098">
        <v>4</v>
      </c>
      <c r="I1098">
        <v>452</v>
      </c>
      <c r="J1098">
        <v>1808</v>
      </c>
      <c r="K1098" t="str">
        <f>TEXT(Table1[[#This Row],[Date]],"dddd")</f>
        <v>Wednesday</v>
      </c>
      <c r="L1098" t="str">
        <f>TEXT(Table1[[#This Row],[Date]],"mmm-yyyy")</f>
        <v>Nov-2023</v>
      </c>
      <c r="M1098">
        <f>HOUR(Table1[[#This Row],[Time]])</f>
        <v>17</v>
      </c>
    </row>
    <row r="1099" spans="1:13" x14ac:dyDescent="0.3">
      <c r="A1099">
        <v>2098</v>
      </c>
      <c r="B1099" s="3">
        <v>45260.034195162036</v>
      </c>
      <c r="C1099" s="1">
        <v>45260.034195162036</v>
      </c>
      <c r="D1099" t="s">
        <v>126</v>
      </c>
      <c r="E1099" t="s">
        <v>10</v>
      </c>
      <c r="F1099" t="s">
        <v>15</v>
      </c>
      <c r="G1099" t="s">
        <v>12</v>
      </c>
      <c r="H1099">
        <v>1</v>
      </c>
      <c r="I1099">
        <v>775</v>
      </c>
      <c r="J1099">
        <v>775</v>
      </c>
      <c r="K1099" t="str">
        <f>TEXT(Table1[[#This Row],[Date]],"dddd")</f>
        <v>Thursday</v>
      </c>
      <c r="L1099" t="str">
        <f>TEXT(Table1[[#This Row],[Date]],"mmm-yyyy")</f>
        <v>Nov-2023</v>
      </c>
      <c r="M1099">
        <f>HOUR(Table1[[#This Row],[Time]])</f>
        <v>0</v>
      </c>
    </row>
    <row r="1100" spans="1:13" x14ac:dyDescent="0.3">
      <c r="A1100">
        <v>2099</v>
      </c>
      <c r="B1100" s="3">
        <v>45260.337781481481</v>
      </c>
      <c r="C1100" s="1">
        <v>45260.337781481481</v>
      </c>
      <c r="D1100" t="s">
        <v>121</v>
      </c>
      <c r="E1100" t="s">
        <v>10</v>
      </c>
      <c r="F1100" t="s">
        <v>24</v>
      </c>
      <c r="G1100" t="s">
        <v>33</v>
      </c>
      <c r="H1100">
        <v>4</v>
      </c>
      <c r="I1100">
        <v>998</v>
      </c>
      <c r="J1100">
        <v>3992</v>
      </c>
      <c r="K1100" t="str">
        <f>TEXT(Table1[[#This Row],[Date]],"dddd")</f>
        <v>Thursday</v>
      </c>
      <c r="L1100" t="str">
        <f>TEXT(Table1[[#This Row],[Date]],"mmm-yyyy")</f>
        <v>Nov-2023</v>
      </c>
      <c r="M1100">
        <f>HOUR(Table1[[#This Row],[Time]])</f>
        <v>8</v>
      </c>
    </row>
    <row r="1101" spans="1:13" x14ac:dyDescent="0.3">
      <c r="A1101">
        <v>2100</v>
      </c>
      <c r="B1101" s="3">
        <v>45260.641367800927</v>
      </c>
      <c r="C1101" s="1">
        <v>45260.641367800927</v>
      </c>
      <c r="D1101" t="s">
        <v>186</v>
      </c>
      <c r="E1101" t="s">
        <v>17</v>
      </c>
      <c r="F1101" t="s">
        <v>11</v>
      </c>
      <c r="G1101" t="s">
        <v>35</v>
      </c>
      <c r="H1101">
        <v>2</v>
      </c>
      <c r="I1101">
        <v>172</v>
      </c>
      <c r="J1101">
        <v>344</v>
      </c>
      <c r="K1101" t="str">
        <f>TEXT(Table1[[#This Row],[Date]],"dddd")</f>
        <v>Thursday</v>
      </c>
      <c r="L1101" t="str">
        <f>TEXT(Table1[[#This Row],[Date]],"mmm-yyyy")</f>
        <v>Nov-2023</v>
      </c>
      <c r="M1101">
        <f>HOUR(Table1[[#This Row],[Time]])</f>
        <v>15</v>
      </c>
    </row>
    <row r="1102" spans="1:13" x14ac:dyDescent="0.3">
      <c r="A1102">
        <v>2101</v>
      </c>
      <c r="B1102" s="3">
        <v>45260.944954131941</v>
      </c>
      <c r="C1102" s="1">
        <v>45260.944954131941</v>
      </c>
      <c r="D1102" t="s">
        <v>310</v>
      </c>
      <c r="E1102" t="s">
        <v>17</v>
      </c>
      <c r="F1102" t="s">
        <v>15</v>
      </c>
      <c r="G1102" t="s">
        <v>22</v>
      </c>
      <c r="H1102">
        <v>5</v>
      </c>
      <c r="I1102">
        <v>747</v>
      </c>
      <c r="J1102">
        <v>3735</v>
      </c>
      <c r="K1102" t="str">
        <f>TEXT(Table1[[#This Row],[Date]],"dddd")</f>
        <v>Thursday</v>
      </c>
      <c r="L1102" t="str">
        <f>TEXT(Table1[[#This Row],[Date]],"mmm-yyyy")</f>
        <v>Nov-2023</v>
      </c>
      <c r="M1102">
        <f>HOUR(Table1[[#This Row],[Time]])</f>
        <v>22</v>
      </c>
    </row>
    <row r="1103" spans="1:13" x14ac:dyDescent="0.3">
      <c r="A1103">
        <v>2102</v>
      </c>
      <c r="B1103" s="3">
        <v>45261.248540451386</v>
      </c>
      <c r="C1103" s="1">
        <v>45261.248540451386</v>
      </c>
      <c r="D1103" t="s">
        <v>161</v>
      </c>
      <c r="E1103" t="s">
        <v>17</v>
      </c>
      <c r="F1103" t="s">
        <v>39</v>
      </c>
      <c r="G1103" t="s">
        <v>22</v>
      </c>
      <c r="H1103">
        <v>1</v>
      </c>
      <c r="I1103">
        <v>452</v>
      </c>
      <c r="J1103">
        <v>452</v>
      </c>
      <c r="K1103" t="str">
        <f>TEXT(Table1[[#This Row],[Date]],"dddd")</f>
        <v>Friday</v>
      </c>
      <c r="L1103" t="str">
        <f>TEXT(Table1[[#This Row],[Date]],"mmm-yyyy")</f>
        <v>Dec-2023</v>
      </c>
      <c r="M1103">
        <f>HOUR(Table1[[#This Row],[Time]])</f>
        <v>5</v>
      </c>
    </row>
    <row r="1104" spans="1:13" x14ac:dyDescent="0.3">
      <c r="A1104">
        <v>2103</v>
      </c>
      <c r="B1104" s="3">
        <v>45261.552126770832</v>
      </c>
      <c r="C1104" s="1">
        <v>45261.552126770832</v>
      </c>
      <c r="D1104" t="s">
        <v>291</v>
      </c>
      <c r="E1104" t="s">
        <v>17</v>
      </c>
      <c r="F1104" t="s">
        <v>39</v>
      </c>
      <c r="G1104" t="s">
        <v>12</v>
      </c>
      <c r="H1104">
        <v>1</v>
      </c>
      <c r="I1104">
        <v>990</v>
      </c>
      <c r="J1104">
        <v>990</v>
      </c>
      <c r="K1104" t="str">
        <f>TEXT(Table1[[#This Row],[Date]],"dddd")</f>
        <v>Friday</v>
      </c>
      <c r="L1104" t="str">
        <f>TEXT(Table1[[#This Row],[Date]],"mmm-yyyy")</f>
        <v>Dec-2023</v>
      </c>
      <c r="M1104">
        <f>HOUR(Table1[[#This Row],[Time]])</f>
        <v>13</v>
      </c>
    </row>
    <row r="1105" spans="1:13" x14ac:dyDescent="0.3">
      <c r="A1105">
        <v>2104</v>
      </c>
      <c r="B1105" s="3">
        <v>45261.855713090277</v>
      </c>
      <c r="C1105" s="1">
        <v>45261.855713090277</v>
      </c>
      <c r="D1105" t="s">
        <v>90</v>
      </c>
      <c r="E1105" t="s">
        <v>10</v>
      </c>
      <c r="F1105" t="s">
        <v>11</v>
      </c>
      <c r="G1105" t="s">
        <v>29</v>
      </c>
      <c r="H1105">
        <v>3</v>
      </c>
      <c r="I1105">
        <v>169</v>
      </c>
      <c r="J1105">
        <v>507</v>
      </c>
      <c r="K1105" t="str">
        <f>TEXT(Table1[[#This Row],[Date]],"dddd")</f>
        <v>Friday</v>
      </c>
      <c r="L1105" t="str">
        <f>TEXT(Table1[[#This Row],[Date]],"mmm-yyyy")</f>
        <v>Dec-2023</v>
      </c>
      <c r="M1105">
        <f>HOUR(Table1[[#This Row],[Time]])</f>
        <v>20</v>
      </c>
    </row>
    <row r="1106" spans="1:13" x14ac:dyDescent="0.3">
      <c r="A1106">
        <v>2105</v>
      </c>
      <c r="B1106" s="3">
        <v>45262.159299421299</v>
      </c>
      <c r="C1106" s="1">
        <v>45262.159299421299</v>
      </c>
      <c r="D1106" t="s">
        <v>321</v>
      </c>
      <c r="E1106" t="s">
        <v>10</v>
      </c>
      <c r="F1106" t="s">
        <v>18</v>
      </c>
      <c r="G1106" t="s">
        <v>35</v>
      </c>
      <c r="H1106">
        <v>3</v>
      </c>
      <c r="I1106">
        <v>524</v>
      </c>
      <c r="J1106">
        <v>1572</v>
      </c>
      <c r="K1106" t="str">
        <f>TEXT(Table1[[#This Row],[Date]],"dddd")</f>
        <v>Saturday</v>
      </c>
      <c r="L1106" t="str">
        <f>TEXT(Table1[[#This Row],[Date]],"mmm-yyyy")</f>
        <v>Dec-2023</v>
      </c>
      <c r="M1106">
        <f>HOUR(Table1[[#This Row],[Time]])</f>
        <v>3</v>
      </c>
    </row>
    <row r="1107" spans="1:13" x14ac:dyDescent="0.3">
      <c r="A1107">
        <v>2106</v>
      </c>
      <c r="B1107" s="3">
        <v>45262.462885740744</v>
      </c>
      <c r="C1107" s="1">
        <v>45262.462885740744</v>
      </c>
      <c r="D1107" t="s">
        <v>114</v>
      </c>
      <c r="E1107" t="s">
        <v>14</v>
      </c>
      <c r="F1107" t="s">
        <v>11</v>
      </c>
      <c r="G1107" t="s">
        <v>29</v>
      </c>
      <c r="H1107">
        <v>5</v>
      </c>
      <c r="I1107">
        <v>807</v>
      </c>
      <c r="J1107">
        <v>4035</v>
      </c>
      <c r="K1107" t="str">
        <f>TEXT(Table1[[#This Row],[Date]],"dddd")</f>
        <v>Saturday</v>
      </c>
      <c r="L1107" t="str">
        <f>TEXT(Table1[[#This Row],[Date]],"mmm-yyyy")</f>
        <v>Dec-2023</v>
      </c>
      <c r="M1107">
        <f>HOUR(Table1[[#This Row],[Time]])</f>
        <v>11</v>
      </c>
    </row>
    <row r="1108" spans="1:13" x14ac:dyDescent="0.3">
      <c r="A1108">
        <v>2107</v>
      </c>
      <c r="B1108" s="3">
        <v>45262.766472060182</v>
      </c>
      <c r="C1108" s="1">
        <v>45262.766472060182</v>
      </c>
      <c r="D1108" t="s">
        <v>101</v>
      </c>
      <c r="E1108" t="s">
        <v>10</v>
      </c>
      <c r="F1108" t="s">
        <v>24</v>
      </c>
      <c r="G1108" t="s">
        <v>25</v>
      </c>
      <c r="H1108">
        <v>1</v>
      </c>
      <c r="I1108">
        <v>880</v>
      </c>
      <c r="J1108">
        <v>880</v>
      </c>
      <c r="K1108" t="str">
        <f>TEXT(Table1[[#This Row],[Date]],"dddd")</f>
        <v>Saturday</v>
      </c>
      <c r="L1108" t="str">
        <f>TEXT(Table1[[#This Row],[Date]],"mmm-yyyy")</f>
        <v>Dec-2023</v>
      </c>
      <c r="M1108">
        <f>HOUR(Table1[[#This Row],[Time]])</f>
        <v>18</v>
      </c>
    </row>
    <row r="1109" spans="1:13" x14ac:dyDescent="0.3">
      <c r="A1109">
        <v>2108</v>
      </c>
      <c r="B1109" s="3">
        <v>45263.070058379628</v>
      </c>
      <c r="C1109" s="1">
        <v>45263.070058379628</v>
      </c>
      <c r="D1109" t="s">
        <v>189</v>
      </c>
      <c r="E1109" t="s">
        <v>17</v>
      </c>
      <c r="F1109" t="s">
        <v>15</v>
      </c>
      <c r="G1109" t="s">
        <v>19</v>
      </c>
      <c r="H1109">
        <v>5</v>
      </c>
      <c r="I1109">
        <v>660</v>
      </c>
      <c r="J1109">
        <v>3300</v>
      </c>
      <c r="K1109" t="str">
        <f>TEXT(Table1[[#This Row],[Date]],"dddd")</f>
        <v>Sunday</v>
      </c>
      <c r="L1109" t="str">
        <f>TEXT(Table1[[#This Row],[Date]],"mmm-yyyy")</f>
        <v>Dec-2023</v>
      </c>
      <c r="M1109">
        <f>HOUR(Table1[[#This Row],[Time]])</f>
        <v>1</v>
      </c>
    </row>
    <row r="1110" spans="1:13" x14ac:dyDescent="0.3">
      <c r="A1110">
        <v>2109</v>
      </c>
      <c r="B1110" s="3">
        <v>45263.373644699073</v>
      </c>
      <c r="C1110" s="1">
        <v>45263.373644699073</v>
      </c>
      <c r="D1110" t="s">
        <v>61</v>
      </c>
      <c r="E1110" t="s">
        <v>17</v>
      </c>
      <c r="F1110" t="s">
        <v>18</v>
      </c>
      <c r="G1110" t="s">
        <v>35</v>
      </c>
      <c r="H1110">
        <v>3</v>
      </c>
      <c r="I1110">
        <v>927</v>
      </c>
      <c r="J1110">
        <v>2781</v>
      </c>
      <c r="K1110" t="str">
        <f>TEXT(Table1[[#This Row],[Date]],"dddd")</f>
        <v>Sunday</v>
      </c>
      <c r="L1110" t="str">
        <f>TEXT(Table1[[#This Row],[Date]],"mmm-yyyy")</f>
        <v>Dec-2023</v>
      </c>
      <c r="M1110">
        <f>HOUR(Table1[[#This Row],[Time]])</f>
        <v>8</v>
      </c>
    </row>
    <row r="1111" spans="1:13" x14ac:dyDescent="0.3">
      <c r="A1111">
        <v>2110</v>
      </c>
      <c r="B1111" s="3">
        <v>45263.677231030095</v>
      </c>
      <c r="C1111" s="1">
        <v>45263.677231030095</v>
      </c>
      <c r="D1111" t="s">
        <v>64</v>
      </c>
      <c r="E1111" t="s">
        <v>28</v>
      </c>
      <c r="F1111" t="s">
        <v>11</v>
      </c>
      <c r="G1111" t="s">
        <v>42</v>
      </c>
      <c r="H1111">
        <v>3</v>
      </c>
      <c r="I1111">
        <v>741</v>
      </c>
      <c r="J1111">
        <v>2223</v>
      </c>
      <c r="K1111" t="str">
        <f>TEXT(Table1[[#This Row],[Date]],"dddd")</f>
        <v>Sunday</v>
      </c>
      <c r="L1111" t="str">
        <f>TEXT(Table1[[#This Row],[Date]],"mmm-yyyy")</f>
        <v>Dec-2023</v>
      </c>
      <c r="M1111">
        <f>HOUR(Table1[[#This Row],[Time]])</f>
        <v>16</v>
      </c>
    </row>
    <row r="1112" spans="1:13" x14ac:dyDescent="0.3">
      <c r="A1112">
        <v>2111</v>
      </c>
      <c r="B1112" s="3">
        <v>45263.98081734954</v>
      </c>
      <c r="C1112" s="1">
        <v>45263.98081734954</v>
      </c>
      <c r="D1112" t="s">
        <v>65</v>
      </c>
      <c r="E1112" t="s">
        <v>10</v>
      </c>
      <c r="F1112" t="s">
        <v>24</v>
      </c>
      <c r="G1112" t="s">
        <v>12</v>
      </c>
      <c r="H1112">
        <v>1</v>
      </c>
      <c r="I1112">
        <v>616</v>
      </c>
      <c r="J1112">
        <v>616</v>
      </c>
      <c r="K1112" t="str">
        <f>TEXT(Table1[[#This Row],[Date]],"dddd")</f>
        <v>Sunday</v>
      </c>
      <c r="L1112" t="str">
        <f>TEXT(Table1[[#This Row],[Date]],"mmm-yyyy")</f>
        <v>Dec-2023</v>
      </c>
      <c r="M1112">
        <f>HOUR(Table1[[#This Row],[Time]])</f>
        <v>23</v>
      </c>
    </row>
    <row r="1113" spans="1:13" x14ac:dyDescent="0.3">
      <c r="A1113">
        <v>2112</v>
      </c>
      <c r="B1113" s="3">
        <v>45264.284403668978</v>
      </c>
      <c r="C1113" s="1">
        <v>45264.284403668978</v>
      </c>
      <c r="D1113" t="s">
        <v>78</v>
      </c>
      <c r="E1113" t="s">
        <v>10</v>
      </c>
      <c r="F1113" t="s">
        <v>24</v>
      </c>
      <c r="G1113" t="s">
        <v>56</v>
      </c>
      <c r="H1113">
        <v>4</v>
      </c>
      <c r="I1113">
        <v>527</v>
      </c>
      <c r="J1113">
        <v>2108</v>
      </c>
      <c r="K1113" t="str">
        <f>TEXT(Table1[[#This Row],[Date]],"dddd")</f>
        <v>Monday</v>
      </c>
      <c r="L1113" t="str">
        <f>TEXT(Table1[[#This Row],[Date]],"mmm-yyyy")</f>
        <v>Dec-2023</v>
      </c>
      <c r="M1113">
        <f>HOUR(Table1[[#This Row],[Time]])</f>
        <v>6</v>
      </c>
    </row>
    <row r="1114" spans="1:13" x14ac:dyDescent="0.3">
      <c r="A1114">
        <v>2113</v>
      </c>
      <c r="B1114" s="3">
        <v>45264.587989988424</v>
      </c>
      <c r="C1114" s="1">
        <v>45264.587989988424</v>
      </c>
      <c r="D1114" t="s">
        <v>289</v>
      </c>
      <c r="E1114" t="s">
        <v>14</v>
      </c>
      <c r="F1114" t="s">
        <v>18</v>
      </c>
      <c r="G1114" t="s">
        <v>19</v>
      </c>
      <c r="H1114">
        <v>2</v>
      </c>
      <c r="I1114">
        <v>638</v>
      </c>
      <c r="J1114">
        <v>1276</v>
      </c>
      <c r="K1114" t="str">
        <f>TEXT(Table1[[#This Row],[Date]],"dddd")</f>
        <v>Monday</v>
      </c>
      <c r="L1114" t="str">
        <f>TEXT(Table1[[#This Row],[Date]],"mmm-yyyy")</f>
        <v>Dec-2023</v>
      </c>
      <c r="M1114">
        <f>HOUR(Table1[[#This Row],[Time]])</f>
        <v>14</v>
      </c>
    </row>
    <row r="1115" spans="1:13" x14ac:dyDescent="0.3">
      <c r="A1115">
        <v>2114</v>
      </c>
      <c r="B1115" s="3">
        <v>45264.891576307869</v>
      </c>
      <c r="C1115" s="1">
        <v>45264.891576307869</v>
      </c>
      <c r="D1115" t="s">
        <v>106</v>
      </c>
      <c r="E1115" t="s">
        <v>14</v>
      </c>
      <c r="F1115" t="s">
        <v>24</v>
      </c>
      <c r="G1115" t="s">
        <v>33</v>
      </c>
      <c r="H1115">
        <v>3</v>
      </c>
      <c r="I1115">
        <v>259</v>
      </c>
      <c r="J1115">
        <v>777</v>
      </c>
      <c r="K1115" t="str">
        <f>TEXT(Table1[[#This Row],[Date]],"dddd")</f>
        <v>Monday</v>
      </c>
      <c r="L1115" t="str">
        <f>TEXT(Table1[[#This Row],[Date]],"mmm-yyyy")</f>
        <v>Dec-2023</v>
      </c>
      <c r="M1115">
        <f>HOUR(Table1[[#This Row],[Time]])</f>
        <v>21</v>
      </c>
    </row>
    <row r="1116" spans="1:13" x14ac:dyDescent="0.3">
      <c r="A1116">
        <v>2115</v>
      </c>
      <c r="B1116" s="3">
        <v>45265.195162638891</v>
      </c>
      <c r="C1116" s="1">
        <v>45265.195162638891</v>
      </c>
      <c r="D1116" t="s">
        <v>107</v>
      </c>
      <c r="E1116" t="s">
        <v>17</v>
      </c>
      <c r="F1116" t="s">
        <v>24</v>
      </c>
      <c r="G1116" t="s">
        <v>40</v>
      </c>
      <c r="H1116">
        <v>3</v>
      </c>
      <c r="I1116">
        <v>248</v>
      </c>
      <c r="J1116">
        <v>744</v>
      </c>
      <c r="K1116" t="str">
        <f>TEXT(Table1[[#This Row],[Date]],"dddd")</f>
        <v>Tuesday</v>
      </c>
      <c r="L1116" t="str">
        <f>TEXT(Table1[[#This Row],[Date]],"mmm-yyyy")</f>
        <v>Dec-2023</v>
      </c>
      <c r="M1116">
        <f>HOUR(Table1[[#This Row],[Time]])</f>
        <v>4</v>
      </c>
    </row>
    <row r="1117" spans="1:13" x14ac:dyDescent="0.3">
      <c r="A1117">
        <v>2116</v>
      </c>
      <c r="B1117" s="3">
        <v>45265.498748958336</v>
      </c>
      <c r="C1117" s="1">
        <v>45265.498748958336</v>
      </c>
      <c r="D1117" t="s">
        <v>120</v>
      </c>
      <c r="E1117" t="s">
        <v>28</v>
      </c>
      <c r="F1117" t="s">
        <v>24</v>
      </c>
      <c r="G1117" t="s">
        <v>33</v>
      </c>
      <c r="H1117">
        <v>4</v>
      </c>
      <c r="I1117">
        <v>875</v>
      </c>
      <c r="J1117">
        <v>3500</v>
      </c>
      <c r="K1117" t="str">
        <f>TEXT(Table1[[#This Row],[Date]],"dddd")</f>
        <v>Tuesday</v>
      </c>
      <c r="L1117" t="str">
        <f>TEXT(Table1[[#This Row],[Date]],"mmm-yyyy")</f>
        <v>Dec-2023</v>
      </c>
      <c r="M1117">
        <f>HOUR(Table1[[#This Row],[Time]])</f>
        <v>11</v>
      </c>
    </row>
    <row r="1118" spans="1:13" x14ac:dyDescent="0.3">
      <c r="A1118">
        <v>2117</v>
      </c>
      <c r="B1118" s="3">
        <v>45265.802335277775</v>
      </c>
      <c r="C1118" s="1">
        <v>45265.802335277775</v>
      </c>
      <c r="D1118" t="s">
        <v>322</v>
      </c>
      <c r="E1118" t="s">
        <v>10</v>
      </c>
      <c r="F1118" t="s">
        <v>24</v>
      </c>
      <c r="G1118" t="s">
        <v>40</v>
      </c>
      <c r="H1118">
        <v>4</v>
      </c>
      <c r="I1118">
        <v>329</v>
      </c>
      <c r="J1118">
        <v>1316</v>
      </c>
      <c r="K1118" t="str">
        <f>TEXT(Table1[[#This Row],[Date]],"dddd")</f>
        <v>Tuesday</v>
      </c>
      <c r="L1118" t="str">
        <f>TEXT(Table1[[#This Row],[Date]],"mmm-yyyy")</f>
        <v>Dec-2023</v>
      </c>
      <c r="M1118">
        <f>HOUR(Table1[[#This Row],[Time]])</f>
        <v>19</v>
      </c>
    </row>
    <row r="1119" spans="1:13" x14ac:dyDescent="0.3">
      <c r="A1119">
        <v>2118</v>
      </c>
      <c r="B1119" s="3">
        <v>45266.10592159722</v>
      </c>
      <c r="C1119" s="1">
        <v>45266.10592159722</v>
      </c>
      <c r="D1119" t="s">
        <v>183</v>
      </c>
      <c r="E1119" t="s">
        <v>10</v>
      </c>
      <c r="F1119" t="s">
        <v>11</v>
      </c>
      <c r="G1119" t="s">
        <v>33</v>
      </c>
      <c r="H1119">
        <v>5</v>
      </c>
      <c r="I1119">
        <v>811</v>
      </c>
      <c r="J1119">
        <v>4055</v>
      </c>
      <c r="K1119" t="str">
        <f>TEXT(Table1[[#This Row],[Date]],"dddd")</f>
        <v>Wednesday</v>
      </c>
      <c r="L1119" t="str">
        <f>TEXT(Table1[[#This Row],[Date]],"mmm-yyyy")</f>
        <v>Dec-2023</v>
      </c>
      <c r="M1119">
        <f>HOUR(Table1[[#This Row],[Time]])</f>
        <v>2</v>
      </c>
    </row>
    <row r="1120" spans="1:13" x14ac:dyDescent="0.3">
      <c r="A1120">
        <v>2119</v>
      </c>
      <c r="B1120" s="3">
        <v>45266.409507928242</v>
      </c>
      <c r="C1120" s="1">
        <v>45266.409507928242</v>
      </c>
      <c r="D1120" t="s">
        <v>38</v>
      </c>
      <c r="E1120" t="s">
        <v>28</v>
      </c>
      <c r="F1120" t="s">
        <v>18</v>
      </c>
      <c r="G1120" t="s">
        <v>12</v>
      </c>
      <c r="H1120">
        <v>5</v>
      </c>
      <c r="I1120">
        <v>661</v>
      </c>
      <c r="J1120">
        <v>3305</v>
      </c>
      <c r="K1120" t="str">
        <f>TEXT(Table1[[#This Row],[Date]],"dddd")</f>
        <v>Wednesday</v>
      </c>
      <c r="L1120" t="str">
        <f>TEXT(Table1[[#This Row],[Date]],"mmm-yyyy")</f>
        <v>Dec-2023</v>
      </c>
      <c r="M1120">
        <f>HOUR(Table1[[#This Row],[Time]])</f>
        <v>9</v>
      </c>
    </row>
    <row r="1121" spans="1:13" x14ac:dyDescent="0.3">
      <c r="A1121">
        <v>2120</v>
      </c>
      <c r="B1121" s="3">
        <v>45266.713094247687</v>
      </c>
      <c r="C1121" s="1">
        <v>45266.713094247687</v>
      </c>
      <c r="D1121" t="s">
        <v>314</v>
      </c>
      <c r="E1121" t="s">
        <v>10</v>
      </c>
      <c r="F1121" t="s">
        <v>15</v>
      </c>
      <c r="G1121" t="s">
        <v>22</v>
      </c>
      <c r="H1121">
        <v>2</v>
      </c>
      <c r="I1121">
        <v>166</v>
      </c>
      <c r="J1121">
        <v>332</v>
      </c>
      <c r="K1121" t="str">
        <f>TEXT(Table1[[#This Row],[Date]],"dddd")</f>
        <v>Wednesday</v>
      </c>
      <c r="L1121" t="str">
        <f>TEXT(Table1[[#This Row],[Date]],"mmm-yyyy")</f>
        <v>Dec-2023</v>
      </c>
      <c r="M1121">
        <f>HOUR(Table1[[#This Row],[Time]])</f>
        <v>17</v>
      </c>
    </row>
    <row r="1122" spans="1:13" x14ac:dyDescent="0.3">
      <c r="A1122">
        <v>2121</v>
      </c>
      <c r="B1122" s="3">
        <v>45267.016680567132</v>
      </c>
      <c r="C1122" s="1">
        <v>45267.016680567132</v>
      </c>
      <c r="D1122" t="s">
        <v>13</v>
      </c>
      <c r="E1122" t="s">
        <v>14</v>
      </c>
      <c r="F1122" t="s">
        <v>15</v>
      </c>
      <c r="G1122" t="s">
        <v>40</v>
      </c>
      <c r="H1122">
        <v>2</v>
      </c>
      <c r="I1122">
        <v>911</v>
      </c>
      <c r="J1122">
        <v>1822</v>
      </c>
      <c r="K1122" t="str">
        <f>TEXT(Table1[[#This Row],[Date]],"dddd")</f>
        <v>Thursday</v>
      </c>
      <c r="L1122" t="str">
        <f>TEXT(Table1[[#This Row],[Date]],"mmm-yyyy")</f>
        <v>Dec-2023</v>
      </c>
      <c r="M1122">
        <f>HOUR(Table1[[#This Row],[Time]])</f>
        <v>0</v>
      </c>
    </row>
    <row r="1123" spans="1:13" x14ac:dyDescent="0.3">
      <c r="A1123">
        <v>2122</v>
      </c>
      <c r="B1123" s="3">
        <v>45267.320266886571</v>
      </c>
      <c r="C1123" s="1">
        <v>45267.320266886571</v>
      </c>
      <c r="D1123" t="s">
        <v>44</v>
      </c>
      <c r="E1123" t="s">
        <v>28</v>
      </c>
      <c r="F1123" t="s">
        <v>24</v>
      </c>
      <c r="G1123" t="s">
        <v>33</v>
      </c>
      <c r="H1123">
        <v>1</v>
      </c>
      <c r="I1123">
        <v>480</v>
      </c>
      <c r="J1123">
        <v>480</v>
      </c>
      <c r="K1123" t="str">
        <f>TEXT(Table1[[#This Row],[Date]],"dddd")</f>
        <v>Thursday</v>
      </c>
      <c r="L1123" t="str">
        <f>TEXT(Table1[[#This Row],[Date]],"mmm-yyyy")</f>
        <v>Dec-2023</v>
      </c>
      <c r="M1123">
        <f>HOUR(Table1[[#This Row],[Time]])</f>
        <v>7</v>
      </c>
    </row>
    <row r="1124" spans="1:13" x14ac:dyDescent="0.3">
      <c r="A1124">
        <v>2123</v>
      </c>
      <c r="B1124" s="3">
        <v>45267.623853206016</v>
      </c>
      <c r="C1124" s="1">
        <v>45267.623853206016</v>
      </c>
      <c r="D1124" t="s">
        <v>252</v>
      </c>
      <c r="E1124" t="s">
        <v>10</v>
      </c>
      <c r="F1124" t="s">
        <v>11</v>
      </c>
      <c r="G1124" t="s">
        <v>12</v>
      </c>
      <c r="H1124">
        <v>5</v>
      </c>
      <c r="I1124">
        <v>157</v>
      </c>
      <c r="J1124">
        <v>785</v>
      </c>
      <c r="K1124" t="str">
        <f>TEXT(Table1[[#This Row],[Date]],"dddd")</f>
        <v>Thursday</v>
      </c>
      <c r="L1124" t="str">
        <f>TEXT(Table1[[#This Row],[Date]],"mmm-yyyy")</f>
        <v>Dec-2023</v>
      </c>
      <c r="M1124">
        <f>HOUR(Table1[[#This Row],[Time]])</f>
        <v>14</v>
      </c>
    </row>
    <row r="1125" spans="1:13" x14ac:dyDescent="0.3">
      <c r="A1125">
        <v>2124</v>
      </c>
      <c r="B1125" s="3">
        <v>45267.927439537038</v>
      </c>
      <c r="C1125" s="1">
        <v>45267.927439537038</v>
      </c>
      <c r="D1125" t="s">
        <v>239</v>
      </c>
      <c r="E1125" t="s">
        <v>14</v>
      </c>
      <c r="F1125" t="s">
        <v>24</v>
      </c>
      <c r="G1125" t="s">
        <v>33</v>
      </c>
      <c r="H1125">
        <v>3</v>
      </c>
      <c r="I1125">
        <v>358</v>
      </c>
      <c r="J1125">
        <v>1074</v>
      </c>
      <c r="K1125" t="str">
        <f>TEXT(Table1[[#This Row],[Date]],"dddd")</f>
        <v>Thursday</v>
      </c>
      <c r="L1125" t="str">
        <f>TEXT(Table1[[#This Row],[Date]],"mmm-yyyy")</f>
        <v>Dec-2023</v>
      </c>
      <c r="M1125">
        <f>HOUR(Table1[[#This Row],[Time]])</f>
        <v>22</v>
      </c>
    </row>
    <row r="1126" spans="1:13" x14ac:dyDescent="0.3">
      <c r="A1126">
        <v>2125</v>
      </c>
      <c r="B1126" s="3">
        <v>45268.231025856483</v>
      </c>
      <c r="C1126" s="1">
        <v>45268.231025856483</v>
      </c>
      <c r="D1126" t="s">
        <v>118</v>
      </c>
      <c r="E1126" t="s">
        <v>14</v>
      </c>
      <c r="F1126" t="s">
        <v>24</v>
      </c>
      <c r="G1126" t="s">
        <v>35</v>
      </c>
      <c r="H1126">
        <v>5</v>
      </c>
      <c r="I1126">
        <v>441</v>
      </c>
      <c r="J1126">
        <v>2205</v>
      </c>
      <c r="K1126" t="str">
        <f>TEXT(Table1[[#This Row],[Date]],"dddd")</f>
        <v>Friday</v>
      </c>
      <c r="L1126" t="str">
        <f>TEXT(Table1[[#This Row],[Date]],"mmm-yyyy")</f>
        <v>Dec-2023</v>
      </c>
      <c r="M1126">
        <f>HOUR(Table1[[#This Row],[Time]])</f>
        <v>5</v>
      </c>
    </row>
    <row r="1127" spans="1:13" x14ac:dyDescent="0.3">
      <c r="A1127">
        <v>2126</v>
      </c>
      <c r="B1127" s="3">
        <v>45268.534612175928</v>
      </c>
      <c r="C1127" s="1">
        <v>45268.534612175928</v>
      </c>
      <c r="D1127" t="s">
        <v>271</v>
      </c>
      <c r="E1127" t="s">
        <v>17</v>
      </c>
      <c r="F1127" t="s">
        <v>11</v>
      </c>
      <c r="G1127" t="s">
        <v>12</v>
      </c>
      <c r="H1127">
        <v>3</v>
      </c>
      <c r="I1127">
        <v>937</v>
      </c>
      <c r="J1127">
        <v>2811</v>
      </c>
      <c r="K1127" t="str">
        <f>TEXT(Table1[[#This Row],[Date]],"dddd")</f>
        <v>Friday</v>
      </c>
      <c r="L1127" t="str">
        <f>TEXT(Table1[[#This Row],[Date]],"mmm-yyyy")</f>
        <v>Dec-2023</v>
      </c>
      <c r="M1127">
        <f>HOUR(Table1[[#This Row],[Time]])</f>
        <v>12</v>
      </c>
    </row>
    <row r="1128" spans="1:13" x14ac:dyDescent="0.3">
      <c r="A1128">
        <v>2127</v>
      </c>
      <c r="B1128" s="3">
        <v>45268.838198495374</v>
      </c>
      <c r="C1128" s="1">
        <v>45268.838198495374</v>
      </c>
      <c r="D1128" t="s">
        <v>218</v>
      </c>
      <c r="E1128" t="s">
        <v>10</v>
      </c>
      <c r="F1128" t="s">
        <v>39</v>
      </c>
      <c r="G1128" t="s">
        <v>25</v>
      </c>
      <c r="H1128">
        <v>4</v>
      </c>
      <c r="I1128">
        <v>229</v>
      </c>
      <c r="J1128">
        <v>916</v>
      </c>
      <c r="K1128" t="str">
        <f>TEXT(Table1[[#This Row],[Date]],"dddd")</f>
        <v>Friday</v>
      </c>
      <c r="L1128" t="str">
        <f>TEXT(Table1[[#This Row],[Date]],"mmm-yyyy")</f>
        <v>Dec-2023</v>
      </c>
      <c r="M1128">
        <f>HOUR(Table1[[#This Row],[Time]])</f>
        <v>20</v>
      </c>
    </row>
    <row r="1129" spans="1:13" x14ac:dyDescent="0.3">
      <c r="A1129">
        <v>2128</v>
      </c>
      <c r="B1129" s="3">
        <v>45269.141784826388</v>
      </c>
      <c r="C1129" s="1">
        <v>45269.141784826388</v>
      </c>
      <c r="D1129" t="s">
        <v>251</v>
      </c>
      <c r="E1129" t="s">
        <v>28</v>
      </c>
      <c r="F1129" t="s">
        <v>18</v>
      </c>
      <c r="G1129" t="s">
        <v>19</v>
      </c>
      <c r="H1129">
        <v>5</v>
      </c>
      <c r="I1129">
        <v>826</v>
      </c>
      <c r="J1129">
        <v>4130</v>
      </c>
      <c r="K1129" t="str">
        <f>TEXT(Table1[[#This Row],[Date]],"dddd")</f>
        <v>Saturday</v>
      </c>
      <c r="L1129" t="str">
        <f>TEXT(Table1[[#This Row],[Date]],"mmm-yyyy")</f>
        <v>Dec-2023</v>
      </c>
      <c r="M1129">
        <f>HOUR(Table1[[#This Row],[Time]])</f>
        <v>3</v>
      </c>
    </row>
    <row r="1130" spans="1:13" x14ac:dyDescent="0.3">
      <c r="A1130">
        <v>2129</v>
      </c>
      <c r="B1130" s="3">
        <v>45269.445371145834</v>
      </c>
      <c r="C1130" s="1">
        <v>45269.445371145834</v>
      </c>
      <c r="D1130" t="s">
        <v>221</v>
      </c>
      <c r="E1130" t="s">
        <v>14</v>
      </c>
      <c r="F1130" t="s">
        <v>15</v>
      </c>
      <c r="G1130" t="s">
        <v>35</v>
      </c>
      <c r="H1130">
        <v>4</v>
      </c>
      <c r="I1130">
        <v>271</v>
      </c>
      <c r="J1130">
        <v>1084</v>
      </c>
      <c r="K1130" t="str">
        <f>TEXT(Table1[[#This Row],[Date]],"dddd")</f>
        <v>Saturday</v>
      </c>
      <c r="L1130" t="str">
        <f>TEXT(Table1[[#This Row],[Date]],"mmm-yyyy")</f>
        <v>Dec-2023</v>
      </c>
      <c r="M1130">
        <f>HOUR(Table1[[#This Row],[Time]])</f>
        <v>10</v>
      </c>
    </row>
    <row r="1131" spans="1:13" x14ac:dyDescent="0.3">
      <c r="A1131">
        <v>2130</v>
      </c>
      <c r="B1131" s="3">
        <v>45269.748957465279</v>
      </c>
      <c r="C1131" s="1">
        <v>45269.748957465279</v>
      </c>
      <c r="D1131" t="s">
        <v>23</v>
      </c>
      <c r="E1131" t="s">
        <v>14</v>
      </c>
      <c r="F1131" t="s">
        <v>11</v>
      </c>
      <c r="G1131" t="s">
        <v>25</v>
      </c>
      <c r="H1131">
        <v>2</v>
      </c>
      <c r="I1131">
        <v>869</v>
      </c>
      <c r="J1131">
        <v>1738</v>
      </c>
      <c r="K1131" t="str">
        <f>TEXT(Table1[[#This Row],[Date]],"dddd")</f>
        <v>Saturday</v>
      </c>
      <c r="L1131" t="str">
        <f>TEXT(Table1[[#This Row],[Date]],"mmm-yyyy")</f>
        <v>Dec-2023</v>
      </c>
      <c r="M1131">
        <f>HOUR(Table1[[#This Row],[Time]])</f>
        <v>17</v>
      </c>
    </row>
    <row r="1132" spans="1:13" x14ac:dyDescent="0.3">
      <c r="A1132">
        <v>2131</v>
      </c>
      <c r="B1132" s="3">
        <v>45270.052543784725</v>
      </c>
      <c r="C1132" s="1">
        <v>45270.052543784725</v>
      </c>
      <c r="D1132" t="s">
        <v>74</v>
      </c>
      <c r="E1132" t="s">
        <v>17</v>
      </c>
      <c r="F1132" t="s">
        <v>15</v>
      </c>
      <c r="G1132" t="s">
        <v>29</v>
      </c>
      <c r="H1132">
        <v>2</v>
      </c>
      <c r="I1132">
        <v>713</v>
      </c>
      <c r="J1132">
        <v>1426</v>
      </c>
      <c r="K1132" t="str">
        <f>TEXT(Table1[[#This Row],[Date]],"dddd")</f>
        <v>Sunday</v>
      </c>
      <c r="L1132" t="str">
        <f>TEXT(Table1[[#This Row],[Date]],"mmm-yyyy")</f>
        <v>Dec-2023</v>
      </c>
      <c r="M1132">
        <f>HOUR(Table1[[#This Row],[Time]])</f>
        <v>1</v>
      </c>
    </row>
    <row r="1133" spans="1:13" x14ac:dyDescent="0.3">
      <c r="A1133">
        <v>2132</v>
      </c>
      <c r="B1133" s="3">
        <v>45270.35613010417</v>
      </c>
      <c r="C1133" s="1">
        <v>45270.35613010417</v>
      </c>
      <c r="D1133" t="s">
        <v>237</v>
      </c>
      <c r="E1133" t="s">
        <v>28</v>
      </c>
      <c r="F1133" t="s">
        <v>11</v>
      </c>
      <c r="G1133" t="s">
        <v>22</v>
      </c>
      <c r="H1133">
        <v>1</v>
      </c>
      <c r="I1133">
        <v>308</v>
      </c>
      <c r="J1133">
        <v>308</v>
      </c>
      <c r="K1133" t="str">
        <f>TEXT(Table1[[#This Row],[Date]],"dddd")</f>
        <v>Sunday</v>
      </c>
      <c r="L1133" t="str">
        <f>TEXT(Table1[[#This Row],[Date]],"mmm-yyyy")</f>
        <v>Dec-2023</v>
      </c>
      <c r="M1133">
        <f>HOUR(Table1[[#This Row],[Time]])</f>
        <v>8</v>
      </c>
    </row>
    <row r="1134" spans="1:13" x14ac:dyDescent="0.3">
      <c r="A1134">
        <v>2133</v>
      </c>
      <c r="B1134" s="3">
        <v>45270.659716435184</v>
      </c>
      <c r="C1134" s="1">
        <v>45270.659716435184</v>
      </c>
      <c r="D1134" t="s">
        <v>257</v>
      </c>
      <c r="E1134" t="s">
        <v>17</v>
      </c>
      <c r="F1134" t="s">
        <v>11</v>
      </c>
      <c r="G1134" t="s">
        <v>25</v>
      </c>
      <c r="H1134">
        <v>5</v>
      </c>
      <c r="I1134">
        <v>902</v>
      </c>
      <c r="J1134">
        <v>4510</v>
      </c>
      <c r="K1134" t="str">
        <f>TEXT(Table1[[#This Row],[Date]],"dddd")</f>
        <v>Sunday</v>
      </c>
      <c r="L1134" t="str">
        <f>TEXT(Table1[[#This Row],[Date]],"mmm-yyyy")</f>
        <v>Dec-2023</v>
      </c>
      <c r="M1134">
        <f>HOUR(Table1[[#This Row],[Time]])</f>
        <v>15</v>
      </c>
    </row>
    <row r="1135" spans="1:13" x14ac:dyDescent="0.3">
      <c r="A1135">
        <v>2134</v>
      </c>
      <c r="B1135" s="3">
        <v>45270.96330275463</v>
      </c>
      <c r="C1135" s="1">
        <v>45270.96330275463</v>
      </c>
      <c r="D1135" t="s">
        <v>113</v>
      </c>
      <c r="E1135" t="s">
        <v>14</v>
      </c>
      <c r="F1135" t="s">
        <v>39</v>
      </c>
      <c r="G1135" t="s">
        <v>25</v>
      </c>
      <c r="H1135">
        <v>4</v>
      </c>
      <c r="I1135">
        <v>453</v>
      </c>
      <c r="J1135">
        <v>1812</v>
      </c>
      <c r="K1135" t="str">
        <f>TEXT(Table1[[#This Row],[Date]],"dddd")</f>
        <v>Sunday</v>
      </c>
      <c r="L1135" t="str">
        <f>TEXT(Table1[[#This Row],[Date]],"mmm-yyyy")</f>
        <v>Dec-2023</v>
      </c>
      <c r="M1135">
        <f>HOUR(Table1[[#This Row],[Time]])</f>
        <v>23</v>
      </c>
    </row>
    <row r="1136" spans="1:13" x14ac:dyDescent="0.3">
      <c r="A1136">
        <v>2135</v>
      </c>
      <c r="B1136" s="3">
        <v>45271.266889074075</v>
      </c>
      <c r="C1136" s="1">
        <v>45271.266889074075</v>
      </c>
      <c r="D1136" t="s">
        <v>221</v>
      </c>
      <c r="E1136" t="s">
        <v>10</v>
      </c>
      <c r="F1136" t="s">
        <v>24</v>
      </c>
      <c r="G1136" t="s">
        <v>35</v>
      </c>
      <c r="H1136">
        <v>3</v>
      </c>
      <c r="I1136">
        <v>570</v>
      </c>
      <c r="J1136">
        <v>1710</v>
      </c>
      <c r="K1136" t="str">
        <f>TEXT(Table1[[#This Row],[Date]],"dddd")</f>
        <v>Monday</v>
      </c>
      <c r="L1136" t="str">
        <f>TEXT(Table1[[#This Row],[Date]],"mmm-yyyy")</f>
        <v>Dec-2023</v>
      </c>
      <c r="M1136">
        <f>HOUR(Table1[[#This Row],[Time]])</f>
        <v>6</v>
      </c>
    </row>
    <row r="1137" spans="1:13" x14ac:dyDescent="0.3">
      <c r="A1137">
        <v>2136</v>
      </c>
      <c r="B1137" s="3">
        <v>45271.570475393521</v>
      </c>
      <c r="C1137" s="1">
        <v>45271.570475393521</v>
      </c>
      <c r="D1137" t="s">
        <v>58</v>
      </c>
      <c r="E1137" t="s">
        <v>28</v>
      </c>
      <c r="F1137" t="s">
        <v>18</v>
      </c>
      <c r="G1137" t="s">
        <v>42</v>
      </c>
      <c r="H1137">
        <v>2</v>
      </c>
      <c r="I1137">
        <v>897</v>
      </c>
      <c r="J1137">
        <v>1794</v>
      </c>
      <c r="K1137" t="str">
        <f>TEXT(Table1[[#This Row],[Date]],"dddd")</f>
        <v>Monday</v>
      </c>
      <c r="L1137" t="str">
        <f>TEXT(Table1[[#This Row],[Date]],"mmm-yyyy")</f>
        <v>Dec-2023</v>
      </c>
      <c r="M1137">
        <f>HOUR(Table1[[#This Row],[Time]])</f>
        <v>13</v>
      </c>
    </row>
    <row r="1138" spans="1:13" x14ac:dyDescent="0.3">
      <c r="A1138">
        <v>2137</v>
      </c>
      <c r="B1138" s="3">
        <v>45271.874061712966</v>
      </c>
      <c r="C1138" s="1">
        <v>45271.874061712966</v>
      </c>
      <c r="D1138" t="s">
        <v>204</v>
      </c>
      <c r="E1138" t="s">
        <v>10</v>
      </c>
      <c r="F1138" t="s">
        <v>39</v>
      </c>
      <c r="G1138" t="s">
        <v>25</v>
      </c>
      <c r="H1138">
        <v>2</v>
      </c>
      <c r="I1138">
        <v>215</v>
      </c>
      <c r="J1138">
        <v>430</v>
      </c>
      <c r="K1138" t="str">
        <f>TEXT(Table1[[#This Row],[Date]],"dddd")</f>
        <v>Monday</v>
      </c>
      <c r="L1138" t="str">
        <f>TEXT(Table1[[#This Row],[Date]],"mmm-yyyy")</f>
        <v>Dec-2023</v>
      </c>
      <c r="M1138">
        <f>HOUR(Table1[[#This Row],[Time]])</f>
        <v>20</v>
      </c>
    </row>
    <row r="1139" spans="1:13" x14ac:dyDescent="0.3">
      <c r="A1139">
        <v>2138</v>
      </c>
      <c r="B1139" s="3">
        <v>45272.17764804398</v>
      </c>
      <c r="C1139" s="1">
        <v>45272.17764804398</v>
      </c>
      <c r="D1139" t="s">
        <v>105</v>
      </c>
      <c r="E1139" t="s">
        <v>10</v>
      </c>
      <c r="F1139" t="s">
        <v>15</v>
      </c>
      <c r="G1139" t="s">
        <v>40</v>
      </c>
      <c r="H1139">
        <v>3</v>
      </c>
      <c r="I1139">
        <v>363</v>
      </c>
      <c r="J1139">
        <v>1089</v>
      </c>
      <c r="K1139" t="str">
        <f>TEXT(Table1[[#This Row],[Date]],"dddd")</f>
        <v>Tuesday</v>
      </c>
      <c r="L1139" t="str">
        <f>TEXT(Table1[[#This Row],[Date]],"mmm-yyyy")</f>
        <v>Dec-2023</v>
      </c>
      <c r="M1139">
        <f>HOUR(Table1[[#This Row],[Time]])</f>
        <v>4</v>
      </c>
    </row>
    <row r="1140" spans="1:13" x14ac:dyDescent="0.3">
      <c r="A1140">
        <v>2139</v>
      </c>
      <c r="B1140" s="3">
        <v>45272.481234363426</v>
      </c>
      <c r="C1140" s="1">
        <v>45272.481234363426</v>
      </c>
      <c r="D1140" t="s">
        <v>286</v>
      </c>
      <c r="E1140" t="s">
        <v>17</v>
      </c>
      <c r="F1140" t="s">
        <v>18</v>
      </c>
      <c r="G1140" t="s">
        <v>12</v>
      </c>
      <c r="H1140">
        <v>4</v>
      </c>
      <c r="I1140">
        <v>761</v>
      </c>
      <c r="J1140">
        <v>3044</v>
      </c>
      <c r="K1140" t="str">
        <f>TEXT(Table1[[#This Row],[Date]],"dddd")</f>
        <v>Tuesday</v>
      </c>
      <c r="L1140" t="str">
        <f>TEXT(Table1[[#This Row],[Date]],"mmm-yyyy")</f>
        <v>Dec-2023</v>
      </c>
      <c r="M1140">
        <f>HOUR(Table1[[#This Row],[Time]])</f>
        <v>11</v>
      </c>
    </row>
    <row r="1141" spans="1:13" x14ac:dyDescent="0.3">
      <c r="A1141">
        <v>2140</v>
      </c>
      <c r="B1141" s="3">
        <v>45272.784820682871</v>
      </c>
      <c r="C1141" s="1">
        <v>45272.784820682871</v>
      </c>
      <c r="D1141" t="s">
        <v>323</v>
      </c>
      <c r="E1141" t="s">
        <v>14</v>
      </c>
      <c r="F1141" t="s">
        <v>24</v>
      </c>
      <c r="G1141" t="s">
        <v>40</v>
      </c>
      <c r="H1141">
        <v>4</v>
      </c>
      <c r="I1141">
        <v>911</v>
      </c>
      <c r="J1141">
        <v>3644</v>
      </c>
      <c r="K1141" t="str">
        <f>TEXT(Table1[[#This Row],[Date]],"dddd")</f>
        <v>Tuesday</v>
      </c>
      <c r="L1141" t="str">
        <f>TEXT(Table1[[#This Row],[Date]],"mmm-yyyy")</f>
        <v>Dec-2023</v>
      </c>
      <c r="M1141">
        <f>HOUR(Table1[[#This Row],[Time]])</f>
        <v>18</v>
      </c>
    </row>
    <row r="1142" spans="1:13" x14ac:dyDescent="0.3">
      <c r="A1142">
        <v>2141</v>
      </c>
      <c r="B1142" s="3">
        <v>45273.088407002317</v>
      </c>
      <c r="C1142" s="1">
        <v>45273.088407002317</v>
      </c>
      <c r="D1142" t="s">
        <v>78</v>
      </c>
      <c r="E1142" t="s">
        <v>10</v>
      </c>
      <c r="F1142" t="s">
        <v>39</v>
      </c>
      <c r="G1142" t="s">
        <v>19</v>
      </c>
      <c r="H1142">
        <v>5</v>
      </c>
      <c r="I1142">
        <v>541</v>
      </c>
      <c r="J1142">
        <v>2705</v>
      </c>
      <c r="K1142" t="str">
        <f>TEXT(Table1[[#This Row],[Date]],"dddd")</f>
        <v>Wednesday</v>
      </c>
      <c r="L1142" t="str">
        <f>TEXT(Table1[[#This Row],[Date]],"mmm-yyyy")</f>
        <v>Dec-2023</v>
      </c>
      <c r="M1142">
        <f>HOUR(Table1[[#This Row],[Time]])</f>
        <v>2</v>
      </c>
    </row>
    <row r="1143" spans="1:13" x14ac:dyDescent="0.3">
      <c r="A1143">
        <v>2142</v>
      </c>
      <c r="B1143" s="3">
        <v>45273.391993333331</v>
      </c>
      <c r="C1143" s="1">
        <v>45273.391993333331</v>
      </c>
      <c r="D1143" t="s">
        <v>81</v>
      </c>
      <c r="E1143" t="s">
        <v>28</v>
      </c>
      <c r="F1143" t="s">
        <v>11</v>
      </c>
      <c r="G1143" t="s">
        <v>29</v>
      </c>
      <c r="H1143">
        <v>5</v>
      </c>
      <c r="I1143">
        <v>647</v>
      </c>
      <c r="J1143">
        <v>3235</v>
      </c>
      <c r="K1143" t="str">
        <f>TEXT(Table1[[#This Row],[Date]],"dddd")</f>
        <v>Wednesday</v>
      </c>
      <c r="L1143" t="str">
        <f>TEXT(Table1[[#This Row],[Date]],"mmm-yyyy")</f>
        <v>Dec-2023</v>
      </c>
      <c r="M1143">
        <f>HOUR(Table1[[#This Row],[Time]])</f>
        <v>9</v>
      </c>
    </row>
    <row r="1144" spans="1:13" x14ac:dyDescent="0.3">
      <c r="A1144">
        <v>2143</v>
      </c>
      <c r="B1144" s="3">
        <v>45273.695579652776</v>
      </c>
      <c r="C1144" s="1">
        <v>45273.695579652776</v>
      </c>
      <c r="D1144" t="s">
        <v>137</v>
      </c>
      <c r="E1144" t="s">
        <v>17</v>
      </c>
      <c r="F1144" t="s">
        <v>15</v>
      </c>
      <c r="G1144" t="s">
        <v>29</v>
      </c>
      <c r="H1144">
        <v>1</v>
      </c>
      <c r="I1144">
        <v>552</v>
      </c>
      <c r="J1144">
        <v>552</v>
      </c>
      <c r="K1144" t="str">
        <f>TEXT(Table1[[#This Row],[Date]],"dddd")</f>
        <v>Wednesday</v>
      </c>
      <c r="L1144" t="str">
        <f>TEXT(Table1[[#This Row],[Date]],"mmm-yyyy")</f>
        <v>Dec-2023</v>
      </c>
      <c r="M1144">
        <f>HOUR(Table1[[#This Row],[Time]])</f>
        <v>16</v>
      </c>
    </row>
    <row r="1145" spans="1:13" x14ac:dyDescent="0.3">
      <c r="A1145">
        <v>2144</v>
      </c>
      <c r="B1145" s="3">
        <v>45273.999165972222</v>
      </c>
      <c r="C1145" s="1">
        <v>45273.999165972222</v>
      </c>
      <c r="D1145" t="s">
        <v>46</v>
      </c>
      <c r="E1145" t="s">
        <v>28</v>
      </c>
      <c r="F1145" t="s">
        <v>39</v>
      </c>
      <c r="G1145" t="s">
        <v>22</v>
      </c>
      <c r="H1145">
        <v>2</v>
      </c>
      <c r="I1145">
        <v>944</v>
      </c>
      <c r="J1145">
        <v>1888</v>
      </c>
      <c r="K1145" t="str">
        <f>TEXT(Table1[[#This Row],[Date]],"dddd")</f>
        <v>Wednesday</v>
      </c>
      <c r="L1145" t="str">
        <f>TEXT(Table1[[#This Row],[Date]],"mmm-yyyy")</f>
        <v>Dec-2023</v>
      </c>
      <c r="M1145">
        <f>HOUR(Table1[[#This Row],[Time]])</f>
        <v>23</v>
      </c>
    </row>
    <row r="1146" spans="1:13" x14ac:dyDescent="0.3">
      <c r="A1146">
        <v>2145</v>
      </c>
      <c r="B1146" s="3">
        <v>45274.302752291667</v>
      </c>
      <c r="C1146" s="1">
        <v>45274.302752291667</v>
      </c>
      <c r="D1146" t="s">
        <v>53</v>
      </c>
      <c r="E1146" t="s">
        <v>10</v>
      </c>
      <c r="F1146" t="s">
        <v>39</v>
      </c>
      <c r="G1146" t="s">
        <v>19</v>
      </c>
      <c r="H1146">
        <v>5</v>
      </c>
      <c r="I1146">
        <v>576</v>
      </c>
      <c r="J1146">
        <v>2880</v>
      </c>
      <c r="K1146" t="str">
        <f>TEXT(Table1[[#This Row],[Date]],"dddd")</f>
        <v>Thursday</v>
      </c>
      <c r="L1146" t="str">
        <f>TEXT(Table1[[#This Row],[Date]],"mmm-yyyy")</f>
        <v>Dec-2023</v>
      </c>
      <c r="M1146">
        <f>HOUR(Table1[[#This Row],[Time]])</f>
        <v>7</v>
      </c>
    </row>
    <row r="1147" spans="1:13" x14ac:dyDescent="0.3">
      <c r="A1147">
        <v>2146</v>
      </c>
      <c r="B1147" s="3">
        <v>45274.606338611113</v>
      </c>
      <c r="C1147" s="1">
        <v>45274.606338611113</v>
      </c>
      <c r="D1147" t="s">
        <v>263</v>
      </c>
      <c r="E1147" t="s">
        <v>28</v>
      </c>
      <c r="F1147" t="s">
        <v>18</v>
      </c>
      <c r="G1147" t="s">
        <v>22</v>
      </c>
      <c r="H1147">
        <v>4</v>
      </c>
      <c r="I1147">
        <v>386</v>
      </c>
      <c r="J1147">
        <v>1544</v>
      </c>
      <c r="K1147" t="str">
        <f>TEXT(Table1[[#This Row],[Date]],"dddd")</f>
        <v>Thursday</v>
      </c>
      <c r="L1147" t="str">
        <f>TEXT(Table1[[#This Row],[Date]],"mmm-yyyy")</f>
        <v>Dec-2023</v>
      </c>
      <c r="M1147">
        <f>HOUR(Table1[[#This Row],[Time]])</f>
        <v>14</v>
      </c>
    </row>
    <row r="1148" spans="1:13" x14ac:dyDescent="0.3">
      <c r="A1148">
        <v>2147</v>
      </c>
      <c r="B1148" s="3">
        <v>45274.909924942127</v>
      </c>
      <c r="C1148" s="1">
        <v>45274.909924942127</v>
      </c>
      <c r="D1148" t="s">
        <v>180</v>
      </c>
      <c r="E1148" t="s">
        <v>17</v>
      </c>
      <c r="F1148" t="s">
        <v>15</v>
      </c>
      <c r="G1148" t="s">
        <v>33</v>
      </c>
      <c r="H1148">
        <v>3</v>
      </c>
      <c r="I1148">
        <v>402</v>
      </c>
      <c r="J1148">
        <v>1206</v>
      </c>
      <c r="K1148" t="str">
        <f>TEXT(Table1[[#This Row],[Date]],"dddd")</f>
        <v>Thursday</v>
      </c>
      <c r="L1148" t="str">
        <f>TEXT(Table1[[#This Row],[Date]],"mmm-yyyy")</f>
        <v>Dec-2023</v>
      </c>
      <c r="M1148">
        <f>HOUR(Table1[[#This Row],[Time]])</f>
        <v>21</v>
      </c>
    </row>
    <row r="1149" spans="1:13" x14ac:dyDescent="0.3">
      <c r="A1149">
        <v>2148</v>
      </c>
      <c r="B1149" s="3">
        <v>45275.213511261572</v>
      </c>
      <c r="C1149" s="1">
        <v>45275.213511261572</v>
      </c>
      <c r="D1149" t="s">
        <v>141</v>
      </c>
      <c r="E1149" t="s">
        <v>17</v>
      </c>
      <c r="F1149" t="s">
        <v>15</v>
      </c>
      <c r="G1149" t="s">
        <v>33</v>
      </c>
      <c r="H1149">
        <v>4</v>
      </c>
      <c r="I1149">
        <v>410</v>
      </c>
      <c r="J1149">
        <v>1640</v>
      </c>
      <c r="K1149" t="str">
        <f>TEXT(Table1[[#This Row],[Date]],"dddd")</f>
        <v>Friday</v>
      </c>
      <c r="L1149" t="str">
        <f>TEXT(Table1[[#This Row],[Date]],"mmm-yyyy")</f>
        <v>Dec-2023</v>
      </c>
      <c r="M1149">
        <f>HOUR(Table1[[#This Row],[Time]])</f>
        <v>5</v>
      </c>
    </row>
    <row r="1150" spans="1:13" x14ac:dyDescent="0.3">
      <c r="A1150">
        <v>2149</v>
      </c>
      <c r="B1150" s="3">
        <v>45275.517097581018</v>
      </c>
      <c r="C1150" s="1">
        <v>45275.517097581018</v>
      </c>
      <c r="D1150" t="s">
        <v>174</v>
      </c>
      <c r="E1150" t="s">
        <v>14</v>
      </c>
      <c r="F1150" t="s">
        <v>15</v>
      </c>
      <c r="G1150" t="s">
        <v>42</v>
      </c>
      <c r="H1150">
        <v>2</v>
      </c>
      <c r="I1150">
        <v>307</v>
      </c>
      <c r="J1150">
        <v>614</v>
      </c>
      <c r="K1150" t="str">
        <f>TEXT(Table1[[#This Row],[Date]],"dddd")</f>
        <v>Friday</v>
      </c>
      <c r="L1150" t="str">
        <f>TEXT(Table1[[#This Row],[Date]],"mmm-yyyy")</f>
        <v>Dec-2023</v>
      </c>
      <c r="M1150">
        <f>HOUR(Table1[[#This Row],[Time]])</f>
        <v>12</v>
      </c>
    </row>
    <row r="1151" spans="1:13" x14ac:dyDescent="0.3">
      <c r="A1151">
        <v>2150</v>
      </c>
      <c r="B1151" s="3">
        <v>45275.820683900463</v>
      </c>
      <c r="C1151" s="1">
        <v>45275.820683900463</v>
      </c>
      <c r="D1151" t="s">
        <v>296</v>
      </c>
      <c r="E1151" t="s">
        <v>28</v>
      </c>
      <c r="F1151" t="s">
        <v>18</v>
      </c>
      <c r="G1151" t="s">
        <v>12</v>
      </c>
      <c r="H1151">
        <v>4</v>
      </c>
      <c r="I1151">
        <v>717</v>
      </c>
      <c r="J1151">
        <v>2868</v>
      </c>
      <c r="K1151" t="str">
        <f>TEXT(Table1[[#This Row],[Date]],"dddd")</f>
        <v>Friday</v>
      </c>
      <c r="L1151" t="str">
        <f>TEXT(Table1[[#This Row],[Date]],"mmm-yyyy")</f>
        <v>Dec-2023</v>
      </c>
      <c r="M1151">
        <f>HOUR(Table1[[#This Row],[Time]])</f>
        <v>19</v>
      </c>
    </row>
    <row r="1152" spans="1:13" x14ac:dyDescent="0.3">
      <c r="A1152">
        <v>2151</v>
      </c>
      <c r="B1152" s="3">
        <v>45276.124270219909</v>
      </c>
      <c r="C1152" s="1">
        <v>45276.124270219909</v>
      </c>
      <c r="D1152" t="s">
        <v>32</v>
      </c>
      <c r="E1152" t="s">
        <v>17</v>
      </c>
      <c r="F1152" t="s">
        <v>15</v>
      </c>
      <c r="G1152" t="s">
        <v>29</v>
      </c>
      <c r="H1152">
        <v>1</v>
      </c>
      <c r="I1152">
        <v>545</v>
      </c>
      <c r="J1152">
        <v>545</v>
      </c>
      <c r="K1152" t="str">
        <f>TEXT(Table1[[#This Row],[Date]],"dddd")</f>
        <v>Saturday</v>
      </c>
      <c r="L1152" t="str">
        <f>TEXT(Table1[[#This Row],[Date]],"mmm-yyyy")</f>
        <v>Dec-2023</v>
      </c>
      <c r="M1152">
        <f>HOUR(Table1[[#This Row],[Time]])</f>
        <v>2</v>
      </c>
    </row>
    <row r="1153" spans="1:13" x14ac:dyDescent="0.3">
      <c r="A1153">
        <v>2152</v>
      </c>
      <c r="B1153" s="3">
        <v>45276.427856550923</v>
      </c>
      <c r="C1153" s="1">
        <v>45276.427856550923</v>
      </c>
      <c r="D1153" t="s">
        <v>81</v>
      </c>
      <c r="E1153" t="s">
        <v>17</v>
      </c>
      <c r="F1153" t="s">
        <v>18</v>
      </c>
      <c r="G1153" t="s">
        <v>12</v>
      </c>
      <c r="H1153">
        <v>2</v>
      </c>
      <c r="I1153">
        <v>769</v>
      </c>
      <c r="J1153">
        <v>1538</v>
      </c>
      <c r="K1153" t="str">
        <f>TEXT(Table1[[#This Row],[Date]],"dddd")</f>
        <v>Saturday</v>
      </c>
      <c r="L1153" t="str">
        <f>TEXT(Table1[[#This Row],[Date]],"mmm-yyyy")</f>
        <v>Dec-2023</v>
      </c>
      <c r="M1153">
        <f>HOUR(Table1[[#This Row],[Time]])</f>
        <v>10</v>
      </c>
    </row>
    <row r="1154" spans="1:13" x14ac:dyDescent="0.3">
      <c r="A1154">
        <v>2153</v>
      </c>
      <c r="B1154" s="3">
        <v>45276.731442870368</v>
      </c>
      <c r="C1154" s="1">
        <v>45276.731442870368</v>
      </c>
      <c r="D1154" t="s">
        <v>37</v>
      </c>
      <c r="E1154" t="s">
        <v>14</v>
      </c>
      <c r="F1154" t="s">
        <v>11</v>
      </c>
      <c r="G1154" t="s">
        <v>40</v>
      </c>
      <c r="H1154">
        <v>3</v>
      </c>
      <c r="I1154">
        <v>732</v>
      </c>
      <c r="J1154">
        <v>2196</v>
      </c>
      <c r="K1154" t="str">
        <f>TEXT(Table1[[#This Row],[Date]],"dddd")</f>
        <v>Saturday</v>
      </c>
      <c r="L1154" t="str">
        <f>TEXT(Table1[[#This Row],[Date]],"mmm-yyyy")</f>
        <v>Dec-2023</v>
      </c>
      <c r="M1154">
        <f>HOUR(Table1[[#This Row],[Time]])</f>
        <v>17</v>
      </c>
    </row>
    <row r="1155" spans="1:13" x14ac:dyDescent="0.3">
      <c r="A1155">
        <v>2154</v>
      </c>
      <c r="B1155" s="3">
        <v>45277.035029189814</v>
      </c>
      <c r="C1155" s="1">
        <v>45277.035029189814</v>
      </c>
      <c r="D1155" t="s">
        <v>317</v>
      </c>
      <c r="E1155" t="s">
        <v>17</v>
      </c>
      <c r="F1155" t="s">
        <v>18</v>
      </c>
      <c r="G1155" t="s">
        <v>19</v>
      </c>
      <c r="H1155">
        <v>1</v>
      </c>
      <c r="I1155">
        <v>154</v>
      </c>
      <c r="J1155">
        <v>154</v>
      </c>
      <c r="K1155" t="str">
        <f>TEXT(Table1[[#This Row],[Date]],"dddd")</f>
        <v>Sunday</v>
      </c>
      <c r="L1155" t="str">
        <f>TEXT(Table1[[#This Row],[Date]],"mmm-yyyy")</f>
        <v>Dec-2023</v>
      </c>
      <c r="M1155">
        <f>HOUR(Table1[[#This Row],[Time]])</f>
        <v>0</v>
      </c>
    </row>
    <row r="1156" spans="1:13" x14ac:dyDescent="0.3">
      <c r="A1156">
        <v>2155</v>
      </c>
      <c r="B1156" s="3">
        <v>45277.338615509259</v>
      </c>
      <c r="C1156" s="1">
        <v>45277.338615509259</v>
      </c>
      <c r="D1156" t="s">
        <v>317</v>
      </c>
      <c r="E1156" t="s">
        <v>10</v>
      </c>
      <c r="F1156" t="s">
        <v>24</v>
      </c>
      <c r="G1156" t="s">
        <v>22</v>
      </c>
      <c r="H1156">
        <v>2</v>
      </c>
      <c r="I1156">
        <v>111</v>
      </c>
      <c r="J1156">
        <v>222</v>
      </c>
      <c r="K1156" t="str">
        <f>TEXT(Table1[[#This Row],[Date]],"dddd")</f>
        <v>Sunday</v>
      </c>
      <c r="L1156" t="str">
        <f>TEXT(Table1[[#This Row],[Date]],"mmm-yyyy")</f>
        <v>Dec-2023</v>
      </c>
      <c r="M1156">
        <f>HOUR(Table1[[#This Row],[Time]])</f>
        <v>8</v>
      </c>
    </row>
    <row r="1157" spans="1:13" x14ac:dyDescent="0.3">
      <c r="A1157">
        <v>2156</v>
      </c>
      <c r="B1157" s="3">
        <v>45277.642201840281</v>
      </c>
      <c r="C1157" s="1">
        <v>45277.642201840281</v>
      </c>
      <c r="D1157" t="s">
        <v>204</v>
      </c>
      <c r="E1157" t="s">
        <v>28</v>
      </c>
      <c r="F1157" t="s">
        <v>15</v>
      </c>
      <c r="G1157" t="s">
        <v>40</v>
      </c>
      <c r="H1157">
        <v>3</v>
      </c>
      <c r="I1157">
        <v>756</v>
      </c>
      <c r="J1157">
        <v>2268</v>
      </c>
      <c r="K1157" t="str">
        <f>TEXT(Table1[[#This Row],[Date]],"dddd")</f>
        <v>Sunday</v>
      </c>
      <c r="L1157" t="str">
        <f>TEXT(Table1[[#This Row],[Date]],"mmm-yyyy")</f>
        <v>Dec-2023</v>
      </c>
      <c r="M1157">
        <f>HOUR(Table1[[#This Row],[Time]])</f>
        <v>15</v>
      </c>
    </row>
    <row r="1158" spans="1:13" x14ac:dyDescent="0.3">
      <c r="A1158">
        <v>2157</v>
      </c>
      <c r="B1158" s="3">
        <v>45277.945788159719</v>
      </c>
      <c r="C1158" s="1">
        <v>45277.945788159719</v>
      </c>
      <c r="D1158" t="s">
        <v>70</v>
      </c>
      <c r="E1158" t="s">
        <v>14</v>
      </c>
      <c r="F1158" t="s">
        <v>24</v>
      </c>
      <c r="G1158" t="s">
        <v>33</v>
      </c>
      <c r="H1158">
        <v>1</v>
      </c>
      <c r="I1158">
        <v>499</v>
      </c>
      <c r="J1158">
        <v>499</v>
      </c>
      <c r="K1158" t="str">
        <f>TEXT(Table1[[#This Row],[Date]],"dddd")</f>
        <v>Sunday</v>
      </c>
      <c r="L1158" t="str">
        <f>TEXT(Table1[[#This Row],[Date]],"mmm-yyyy")</f>
        <v>Dec-2023</v>
      </c>
      <c r="M1158">
        <f>HOUR(Table1[[#This Row],[Time]])</f>
        <v>22</v>
      </c>
    </row>
    <row r="1159" spans="1:13" x14ac:dyDescent="0.3">
      <c r="A1159">
        <v>2158</v>
      </c>
      <c r="B1159" s="3">
        <v>45278.249374479165</v>
      </c>
      <c r="C1159" s="1">
        <v>45278.249374479165</v>
      </c>
      <c r="D1159" t="s">
        <v>180</v>
      </c>
      <c r="E1159" t="s">
        <v>10</v>
      </c>
      <c r="F1159" t="s">
        <v>24</v>
      </c>
      <c r="G1159" t="s">
        <v>56</v>
      </c>
      <c r="H1159">
        <v>1</v>
      </c>
      <c r="I1159">
        <v>747</v>
      </c>
      <c r="J1159">
        <v>747</v>
      </c>
      <c r="K1159" t="str">
        <f>TEXT(Table1[[#This Row],[Date]],"dddd")</f>
        <v>Monday</v>
      </c>
      <c r="L1159" t="str">
        <f>TEXT(Table1[[#This Row],[Date]],"mmm-yyyy")</f>
        <v>Dec-2023</v>
      </c>
      <c r="M1159">
        <f>HOUR(Table1[[#This Row],[Time]])</f>
        <v>5</v>
      </c>
    </row>
    <row r="1160" spans="1:13" x14ac:dyDescent="0.3">
      <c r="A1160">
        <v>2159</v>
      </c>
      <c r="B1160" s="3">
        <v>45278.55296079861</v>
      </c>
      <c r="C1160" s="1">
        <v>45278.55296079861</v>
      </c>
      <c r="D1160" t="s">
        <v>289</v>
      </c>
      <c r="E1160" t="s">
        <v>10</v>
      </c>
      <c r="F1160" t="s">
        <v>11</v>
      </c>
      <c r="G1160" t="s">
        <v>25</v>
      </c>
      <c r="H1160">
        <v>2</v>
      </c>
      <c r="I1160">
        <v>614</v>
      </c>
      <c r="J1160">
        <v>1228</v>
      </c>
      <c r="K1160" t="str">
        <f>TEXT(Table1[[#This Row],[Date]],"dddd")</f>
        <v>Monday</v>
      </c>
      <c r="L1160" t="str">
        <f>TEXT(Table1[[#This Row],[Date]],"mmm-yyyy")</f>
        <v>Dec-2023</v>
      </c>
      <c r="M1160">
        <f>HOUR(Table1[[#This Row],[Time]])</f>
        <v>13</v>
      </c>
    </row>
    <row r="1161" spans="1:13" x14ac:dyDescent="0.3">
      <c r="A1161">
        <v>2160</v>
      </c>
      <c r="B1161" s="3">
        <v>45278.856547118055</v>
      </c>
      <c r="C1161" s="1">
        <v>45278.856547118055</v>
      </c>
      <c r="D1161" t="s">
        <v>217</v>
      </c>
      <c r="E1161" t="s">
        <v>28</v>
      </c>
      <c r="F1161" t="s">
        <v>39</v>
      </c>
      <c r="G1161" t="s">
        <v>22</v>
      </c>
      <c r="H1161">
        <v>5</v>
      </c>
      <c r="I1161">
        <v>755</v>
      </c>
      <c r="J1161">
        <v>3775</v>
      </c>
      <c r="K1161" t="str">
        <f>TEXT(Table1[[#This Row],[Date]],"dddd")</f>
        <v>Monday</v>
      </c>
      <c r="L1161" t="str">
        <f>TEXT(Table1[[#This Row],[Date]],"mmm-yyyy")</f>
        <v>Dec-2023</v>
      </c>
      <c r="M1161">
        <f>HOUR(Table1[[#This Row],[Time]])</f>
        <v>20</v>
      </c>
    </row>
    <row r="1162" spans="1:13" x14ac:dyDescent="0.3">
      <c r="A1162">
        <v>2161</v>
      </c>
      <c r="B1162" s="3">
        <v>45279.160133449077</v>
      </c>
      <c r="C1162" s="1">
        <v>45279.160133449077</v>
      </c>
      <c r="D1162" t="s">
        <v>59</v>
      </c>
      <c r="E1162" t="s">
        <v>14</v>
      </c>
      <c r="F1162" t="s">
        <v>11</v>
      </c>
      <c r="G1162" t="s">
        <v>22</v>
      </c>
      <c r="H1162">
        <v>1</v>
      </c>
      <c r="I1162">
        <v>641</v>
      </c>
      <c r="J1162">
        <v>641</v>
      </c>
      <c r="K1162" t="str">
        <f>TEXT(Table1[[#This Row],[Date]],"dddd")</f>
        <v>Tuesday</v>
      </c>
      <c r="L1162" t="str">
        <f>TEXT(Table1[[#This Row],[Date]],"mmm-yyyy")</f>
        <v>Dec-2023</v>
      </c>
      <c r="M1162">
        <f>HOUR(Table1[[#This Row],[Time]])</f>
        <v>3</v>
      </c>
    </row>
    <row r="1163" spans="1:13" x14ac:dyDescent="0.3">
      <c r="A1163">
        <v>2162</v>
      </c>
      <c r="B1163" s="3">
        <v>45279.463719768515</v>
      </c>
      <c r="C1163" s="1">
        <v>45279.463719768515</v>
      </c>
      <c r="D1163" t="s">
        <v>181</v>
      </c>
      <c r="E1163" t="s">
        <v>17</v>
      </c>
      <c r="F1163" t="s">
        <v>18</v>
      </c>
      <c r="G1163" t="s">
        <v>29</v>
      </c>
      <c r="H1163">
        <v>1</v>
      </c>
      <c r="I1163">
        <v>336</v>
      </c>
      <c r="J1163">
        <v>336</v>
      </c>
      <c r="K1163" t="str">
        <f>TEXT(Table1[[#This Row],[Date]],"dddd")</f>
        <v>Tuesday</v>
      </c>
      <c r="L1163" t="str">
        <f>TEXT(Table1[[#This Row],[Date]],"mmm-yyyy")</f>
        <v>Dec-2023</v>
      </c>
      <c r="M1163">
        <f>HOUR(Table1[[#This Row],[Time]])</f>
        <v>11</v>
      </c>
    </row>
    <row r="1164" spans="1:13" x14ac:dyDescent="0.3">
      <c r="A1164">
        <v>2163</v>
      </c>
      <c r="B1164" s="3">
        <v>45279.767306087961</v>
      </c>
      <c r="C1164" s="1">
        <v>45279.767306087961</v>
      </c>
      <c r="D1164" t="s">
        <v>291</v>
      </c>
      <c r="E1164" t="s">
        <v>14</v>
      </c>
      <c r="F1164" t="s">
        <v>18</v>
      </c>
      <c r="G1164" t="s">
        <v>35</v>
      </c>
      <c r="H1164">
        <v>3</v>
      </c>
      <c r="I1164">
        <v>378</v>
      </c>
      <c r="J1164">
        <v>1134</v>
      </c>
      <c r="K1164" t="str">
        <f>TEXT(Table1[[#This Row],[Date]],"dddd")</f>
        <v>Tuesday</v>
      </c>
      <c r="L1164" t="str">
        <f>TEXT(Table1[[#This Row],[Date]],"mmm-yyyy")</f>
        <v>Dec-2023</v>
      </c>
      <c r="M1164">
        <f>HOUR(Table1[[#This Row],[Time]])</f>
        <v>18</v>
      </c>
    </row>
    <row r="1165" spans="1:13" x14ac:dyDescent="0.3">
      <c r="A1165">
        <v>2164</v>
      </c>
      <c r="B1165" s="3">
        <v>45280.070892407406</v>
      </c>
      <c r="C1165" s="1">
        <v>45280.070892407406</v>
      </c>
      <c r="D1165" t="s">
        <v>226</v>
      </c>
      <c r="E1165" t="s">
        <v>17</v>
      </c>
      <c r="F1165" t="s">
        <v>15</v>
      </c>
      <c r="G1165" t="s">
        <v>12</v>
      </c>
      <c r="H1165">
        <v>4</v>
      </c>
      <c r="I1165">
        <v>447</v>
      </c>
      <c r="J1165">
        <v>1788</v>
      </c>
      <c r="K1165" t="str">
        <f>TEXT(Table1[[#This Row],[Date]],"dddd")</f>
        <v>Wednesday</v>
      </c>
      <c r="L1165" t="str">
        <f>TEXT(Table1[[#This Row],[Date]],"mmm-yyyy")</f>
        <v>Dec-2023</v>
      </c>
      <c r="M1165">
        <f>HOUR(Table1[[#This Row],[Time]])</f>
        <v>1</v>
      </c>
    </row>
    <row r="1166" spans="1:13" x14ac:dyDescent="0.3">
      <c r="A1166">
        <v>2165</v>
      </c>
      <c r="B1166" s="3">
        <v>45280.374478726852</v>
      </c>
      <c r="C1166" s="1">
        <v>45280.374478726852</v>
      </c>
      <c r="D1166" t="s">
        <v>175</v>
      </c>
      <c r="E1166" t="s">
        <v>28</v>
      </c>
      <c r="F1166" t="s">
        <v>24</v>
      </c>
      <c r="G1166" t="s">
        <v>56</v>
      </c>
      <c r="H1166">
        <v>2</v>
      </c>
      <c r="I1166">
        <v>726</v>
      </c>
      <c r="J1166">
        <v>1452</v>
      </c>
      <c r="K1166" t="str">
        <f>TEXT(Table1[[#This Row],[Date]],"dddd")</f>
        <v>Wednesday</v>
      </c>
      <c r="L1166" t="str">
        <f>TEXT(Table1[[#This Row],[Date]],"mmm-yyyy")</f>
        <v>Dec-2023</v>
      </c>
      <c r="M1166">
        <f>HOUR(Table1[[#This Row],[Time]])</f>
        <v>8</v>
      </c>
    </row>
    <row r="1167" spans="1:13" x14ac:dyDescent="0.3">
      <c r="A1167">
        <v>2166</v>
      </c>
      <c r="B1167" s="3">
        <v>45280.678065057873</v>
      </c>
      <c r="C1167" s="1">
        <v>45280.678065057873</v>
      </c>
      <c r="D1167" t="s">
        <v>272</v>
      </c>
      <c r="E1167" t="s">
        <v>28</v>
      </c>
      <c r="F1167" t="s">
        <v>11</v>
      </c>
      <c r="G1167" t="s">
        <v>29</v>
      </c>
      <c r="H1167">
        <v>2</v>
      </c>
      <c r="I1167">
        <v>203</v>
      </c>
      <c r="J1167">
        <v>406</v>
      </c>
      <c r="K1167" t="str">
        <f>TEXT(Table1[[#This Row],[Date]],"dddd")</f>
        <v>Wednesday</v>
      </c>
      <c r="L1167" t="str">
        <f>TEXT(Table1[[#This Row],[Date]],"mmm-yyyy")</f>
        <v>Dec-2023</v>
      </c>
      <c r="M1167">
        <f>HOUR(Table1[[#This Row],[Time]])</f>
        <v>16</v>
      </c>
    </row>
    <row r="1168" spans="1:13" x14ac:dyDescent="0.3">
      <c r="A1168">
        <v>2167</v>
      </c>
      <c r="B1168" s="3">
        <v>45280.981651377311</v>
      </c>
      <c r="C1168" s="1">
        <v>45280.981651377311</v>
      </c>
      <c r="D1168" t="s">
        <v>78</v>
      </c>
      <c r="E1168" t="s">
        <v>10</v>
      </c>
      <c r="F1168" t="s">
        <v>39</v>
      </c>
      <c r="G1168" t="s">
        <v>25</v>
      </c>
      <c r="H1168">
        <v>5</v>
      </c>
      <c r="I1168">
        <v>729</v>
      </c>
      <c r="J1168">
        <v>3645</v>
      </c>
      <c r="K1168" t="str">
        <f>TEXT(Table1[[#This Row],[Date]],"dddd")</f>
        <v>Wednesday</v>
      </c>
      <c r="L1168" t="str">
        <f>TEXT(Table1[[#This Row],[Date]],"mmm-yyyy")</f>
        <v>Dec-2023</v>
      </c>
      <c r="M1168">
        <f>HOUR(Table1[[#This Row],[Time]])</f>
        <v>23</v>
      </c>
    </row>
    <row r="1169" spans="1:13" x14ac:dyDescent="0.3">
      <c r="A1169">
        <v>2168</v>
      </c>
      <c r="B1169" s="3">
        <v>45281.285237696757</v>
      </c>
      <c r="C1169" s="1">
        <v>45281.285237696757</v>
      </c>
      <c r="D1169" t="s">
        <v>114</v>
      </c>
      <c r="E1169" t="s">
        <v>10</v>
      </c>
      <c r="F1169" t="s">
        <v>11</v>
      </c>
      <c r="G1169" t="s">
        <v>29</v>
      </c>
      <c r="H1169">
        <v>5</v>
      </c>
      <c r="I1169">
        <v>616</v>
      </c>
      <c r="J1169">
        <v>3080</v>
      </c>
      <c r="K1169" t="str">
        <f>TEXT(Table1[[#This Row],[Date]],"dddd")</f>
        <v>Thursday</v>
      </c>
      <c r="L1169" t="str">
        <f>TEXT(Table1[[#This Row],[Date]],"mmm-yyyy")</f>
        <v>Dec-2023</v>
      </c>
      <c r="M1169">
        <f>HOUR(Table1[[#This Row],[Time]])</f>
        <v>6</v>
      </c>
    </row>
    <row r="1170" spans="1:13" x14ac:dyDescent="0.3">
      <c r="A1170">
        <v>2169</v>
      </c>
      <c r="B1170" s="3">
        <v>45281.588824016202</v>
      </c>
      <c r="C1170" s="1">
        <v>45281.588824016202</v>
      </c>
      <c r="D1170" t="s">
        <v>98</v>
      </c>
      <c r="E1170" t="s">
        <v>10</v>
      </c>
      <c r="F1170" t="s">
        <v>15</v>
      </c>
      <c r="G1170" t="s">
        <v>29</v>
      </c>
      <c r="H1170">
        <v>2</v>
      </c>
      <c r="I1170">
        <v>971</v>
      </c>
      <c r="J1170">
        <v>1942</v>
      </c>
      <c r="K1170" t="str">
        <f>TEXT(Table1[[#This Row],[Date]],"dddd")</f>
        <v>Thursday</v>
      </c>
      <c r="L1170" t="str">
        <f>TEXT(Table1[[#This Row],[Date]],"mmm-yyyy")</f>
        <v>Dec-2023</v>
      </c>
      <c r="M1170">
        <f>HOUR(Table1[[#This Row],[Time]])</f>
        <v>14</v>
      </c>
    </row>
    <row r="1171" spans="1:13" x14ac:dyDescent="0.3">
      <c r="A1171">
        <v>2170</v>
      </c>
      <c r="B1171" s="3">
        <v>45281.892410347224</v>
      </c>
      <c r="C1171" s="1">
        <v>45281.892410347224</v>
      </c>
      <c r="D1171" t="s">
        <v>163</v>
      </c>
      <c r="E1171" t="s">
        <v>28</v>
      </c>
      <c r="F1171" t="s">
        <v>11</v>
      </c>
      <c r="G1171" t="s">
        <v>29</v>
      </c>
      <c r="H1171">
        <v>5</v>
      </c>
      <c r="I1171">
        <v>347</v>
      </c>
      <c r="J1171">
        <v>1735</v>
      </c>
      <c r="K1171" t="str">
        <f>TEXT(Table1[[#This Row],[Date]],"dddd")</f>
        <v>Thursday</v>
      </c>
      <c r="L1171" t="str">
        <f>TEXT(Table1[[#This Row],[Date]],"mmm-yyyy")</f>
        <v>Dec-2023</v>
      </c>
      <c r="M1171">
        <f>HOUR(Table1[[#This Row],[Time]])</f>
        <v>21</v>
      </c>
    </row>
    <row r="1172" spans="1:13" x14ac:dyDescent="0.3">
      <c r="A1172">
        <v>2171</v>
      </c>
      <c r="B1172" s="3">
        <v>45282.195996666669</v>
      </c>
      <c r="C1172" s="1">
        <v>45282.195996666669</v>
      </c>
      <c r="D1172" t="s">
        <v>188</v>
      </c>
      <c r="E1172" t="s">
        <v>17</v>
      </c>
      <c r="F1172" t="s">
        <v>39</v>
      </c>
      <c r="G1172" t="s">
        <v>12</v>
      </c>
      <c r="H1172">
        <v>3</v>
      </c>
      <c r="I1172">
        <v>463</v>
      </c>
      <c r="J1172">
        <v>1389</v>
      </c>
      <c r="K1172" t="str">
        <f>TEXT(Table1[[#This Row],[Date]],"dddd")</f>
        <v>Friday</v>
      </c>
      <c r="L1172" t="str">
        <f>TEXT(Table1[[#This Row],[Date]],"mmm-yyyy")</f>
        <v>Dec-2023</v>
      </c>
      <c r="M1172">
        <f>HOUR(Table1[[#This Row],[Time]])</f>
        <v>4</v>
      </c>
    </row>
    <row r="1173" spans="1:13" x14ac:dyDescent="0.3">
      <c r="A1173">
        <v>2172</v>
      </c>
      <c r="B1173" s="3">
        <v>45282.499582986115</v>
      </c>
      <c r="C1173" s="1">
        <v>45282.499582986115</v>
      </c>
      <c r="D1173" t="s">
        <v>227</v>
      </c>
      <c r="E1173" t="s">
        <v>28</v>
      </c>
      <c r="F1173" t="s">
        <v>39</v>
      </c>
      <c r="G1173" t="s">
        <v>29</v>
      </c>
      <c r="H1173">
        <v>2</v>
      </c>
      <c r="I1173">
        <v>420</v>
      </c>
      <c r="J1173">
        <v>840</v>
      </c>
      <c r="K1173" t="str">
        <f>TEXT(Table1[[#This Row],[Date]],"dddd")</f>
        <v>Friday</v>
      </c>
      <c r="L1173" t="str">
        <f>TEXT(Table1[[#This Row],[Date]],"mmm-yyyy")</f>
        <v>Dec-2023</v>
      </c>
      <c r="M1173">
        <f>HOUR(Table1[[#This Row],[Time]])</f>
        <v>11</v>
      </c>
    </row>
    <row r="1174" spans="1:13" x14ac:dyDescent="0.3">
      <c r="A1174">
        <v>2173</v>
      </c>
      <c r="B1174" s="3">
        <v>45282.803169305553</v>
      </c>
      <c r="C1174" s="1">
        <v>45282.803169305553</v>
      </c>
      <c r="D1174" t="s">
        <v>173</v>
      </c>
      <c r="E1174" t="s">
        <v>28</v>
      </c>
      <c r="F1174" t="s">
        <v>24</v>
      </c>
      <c r="G1174" t="s">
        <v>29</v>
      </c>
      <c r="H1174">
        <v>5</v>
      </c>
      <c r="I1174">
        <v>732</v>
      </c>
      <c r="J1174">
        <v>3660</v>
      </c>
      <c r="K1174" t="str">
        <f>TEXT(Table1[[#This Row],[Date]],"dddd")</f>
        <v>Friday</v>
      </c>
      <c r="L1174" t="str">
        <f>TEXT(Table1[[#This Row],[Date]],"mmm-yyyy")</f>
        <v>Dec-2023</v>
      </c>
      <c r="M1174">
        <f>HOUR(Table1[[#This Row],[Time]])</f>
        <v>19</v>
      </c>
    </row>
    <row r="1175" spans="1:13" x14ac:dyDescent="0.3">
      <c r="A1175">
        <v>2174</v>
      </c>
      <c r="B1175" s="3">
        <v>45283.106755624998</v>
      </c>
      <c r="C1175" s="1">
        <v>45283.106755624998</v>
      </c>
      <c r="D1175" t="s">
        <v>150</v>
      </c>
      <c r="E1175" t="s">
        <v>10</v>
      </c>
      <c r="F1175" t="s">
        <v>24</v>
      </c>
      <c r="G1175" t="s">
        <v>29</v>
      </c>
      <c r="H1175">
        <v>2</v>
      </c>
      <c r="I1175">
        <v>385</v>
      </c>
      <c r="J1175">
        <v>770</v>
      </c>
      <c r="K1175" t="str">
        <f>TEXT(Table1[[#This Row],[Date]],"dddd")</f>
        <v>Saturday</v>
      </c>
      <c r="L1175" t="str">
        <f>TEXT(Table1[[#This Row],[Date]],"mmm-yyyy")</f>
        <v>Dec-2023</v>
      </c>
      <c r="M1175">
        <f>HOUR(Table1[[#This Row],[Time]])</f>
        <v>2</v>
      </c>
    </row>
    <row r="1176" spans="1:13" x14ac:dyDescent="0.3">
      <c r="A1176">
        <v>2175</v>
      </c>
      <c r="B1176" s="3">
        <v>45283.41034195602</v>
      </c>
      <c r="C1176" s="1">
        <v>45283.41034195602</v>
      </c>
      <c r="D1176" t="s">
        <v>207</v>
      </c>
      <c r="E1176" t="s">
        <v>14</v>
      </c>
      <c r="F1176" t="s">
        <v>15</v>
      </c>
      <c r="G1176" t="s">
        <v>29</v>
      </c>
      <c r="H1176">
        <v>4</v>
      </c>
      <c r="I1176">
        <v>248</v>
      </c>
      <c r="J1176">
        <v>992</v>
      </c>
      <c r="K1176" t="str">
        <f>TEXT(Table1[[#This Row],[Date]],"dddd")</f>
        <v>Saturday</v>
      </c>
      <c r="L1176" t="str">
        <f>TEXT(Table1[[#This Row],[Date]],"mmm-yyyy")</f>
        <v>Dec-2023</v>
      </c>
      <c r="M1176">
        <f>HOUR(Table1[[#This Row],[Time]])</f>
        <v>9</v>
      </c>
    </row>
    <row r="1177" spans="1:13" x14ac:dyDescent="0.3">
      <c r="A1177">
        <v>2176</v>
      </c>
      <c r="B1177" s="3">
        <v>45283.713928275465</v>
      </c>
      <c r="C1177" s="1">
        <v>45283.713928275465</v>
      </c>
      <c r="D1177" t="s">
        <v>282</v>
      </c>
      <c r="E1177" t="s">
        <v>10</v>
      </c>
      <c r="F1177" t="s">
        <v>24</v>
      </c>
      <c r="G1177" t="s">
        <v>35</v>
      </c>
      <c r="H1177">
        <v>1</v>
      </c>
      <c r="I1177">
        <v>183</v>
      </c>
      <c r="J1177">
        <v>183</v>
      </c>
      <c r="K1177" t="str">
        <f>TEXT(Table1[[#This Row],[Date]],"dddd")</f>
        <v>Saturday</v>
      </c>
      <c r="L1177" t="str">
        <f>TEXT(Table1[[#This Row],[Date]],"mmm-yyyy")</f>
        <v>Dec-2023</v>
      </c>
      <c r="M1177">
        <f>HOUR(Table1[[#This Row],[Time]])</f>
        <v>17</v>
      </c>
    </row>
    <row r="1178" spans="1:13" x14ac:dyDescent="0.3">
      <c r="A1178">
        <v>2177</v>
      </c>
      <c r="B1178" s="3">
        <v>45284.017514594911</v>
      </c>
      <c r="C1178" s="1">
        <v>45284.017514594911</v>
      </c>
      <c r="D1178" t="s">
        <v>73</v>
      </c>
      <c r="E1178" t="s">
        <v>14</v>
      </c>
      <c r="F1178" t="s">
        <v>18</v>
      </c>
      <c r="G1178" t="s">
        <v>22</v>
      </c>
      <c r="H1178">
        <v>2</v>
      </c>
      <c r="I1178">
        <v>505</v>
      </c>
      <c r="J1178">
        <v>1010</v>
      </c>
      <c r="K1178" t="str">
        <f>TEXT(Table1[[#This Row],[Date]],"dddd")</f>
        <v>Sunday</v>
      </c>
      <c r="L1178" t="str">
        <f>TEXT(Table1[[#This Row],[Date]],"mmm-yyyy")</f>
        <v>Dec-2023</v>
      </c>
      <c r="M1178">
        <f>HOUR(Table1[[#This Row],[Time]])</f>
        <v>0</v>
      </c>
    </row>
    <row r="1179" spans="1:13" x14ac:dyDescent="0.3">
      <c r="A1179">
        <v>2178</v>
      </c>
      <c r="B1179" s="3">
        <v>45284.321100914349</v>
      </c>
      <c r="C1179" s="1">
        <v>45284.321100914349</v>
      </c>
      <c r="D1179" t="s">
        <v>124</v>
      </c>
      <c r="E1179" t="s">
        <v>17</v>
      </c>
      <c r="F1179" t="s">
        <v>24</v>
      </c>
      <c r="G1179" t="s">
        <v>56</v>
      </c>
      <c r="H1179">
        <v>1</v>
      </c>
      <c r="I1179">
        <v>555</v>
      </c>
      <c r="J1179">
        <v>555</v>
      </c>
      <c r="K1179" t="str">
        <f>TEXT(Table1[[#This Row],[Date]],"dddd")</f>
        <v>Sunday</v>
      </c>
      <c r="L1179" t="str">
        <f>TEXT(Table1[[#This Row],[Date]],"mmm-yyyy")</f>
        <v>Dec-2023</v>
      </c>
      <c r="M1179">
        <f>HOUR(Table1[[#This Row],[Time]])</f>
        <v>7</v>
      </c>
    </row>
    <row r="1180" spans="1:13" x14ac:dyDescent="0.3">
      <c r="A1180">
        <v>2179</v>
      </c>
      <c r="B1180" s="3">
        <v>45284.624687233794</v>
      </c>
      <c r="C1180" s="1">
        <v>45284.624687233794</v>
      </c>
      <c r="D1180" t="s">
        <v>307</v>
      </c>
      <c r="E1180" t="s">
        <v>17</v>
      </c>
      <c r="F1180" t="s">
        <v>18</v>
      </c>
      <c r="G1180" t="s">
        <v>40</v>
      </c>
      <c r="H1180">
        <v>5</v>
      </c>
      <c r="I1180">
        <v>842</v>
      </c>
      <c r="J1180">
        <v>4210</v>
      </c>
      <c r="K1180" t="str">
        <f>TEXT(Table1[[#This Row],[Date]],"dddd")</f>
        <v>Sunday</v>
      </c>
      <c r="L1180" t="str">
        <f>TEXT(Table1[[#This Row],[Date]],"mmm-yyyy")</f>
        <v>Dec-2023</v>
      </c>
      <c r="M1180">
        <f>HOUR(Table1[[#This Row],[Time]])</f>
        <v>14</v>
      </c>
    </row>
    <row r="1181" spans="1:13" x14ac:dyDescent="0.3">
      <c r="A1181">
        <v>2180</v>
      </c>
      <c r="B1181" s="3">
        <v>45284.928273564816</v>
      </c>
      <c r="C1181" s="1">
        <v>45284.928273564816</v>
      </c>
      <c r="D1181" t="s">
        <v>54</v>
      </c>
      <c r="E1181" t="s">
        <v>17</v>
      </c>
      <c r="F1181" t="s">
        <v>11</v>
      </c>
      <c r="G1181" t="s">
        <v>40</v>
      </c>
      <c r="H1181">
        <v>1</v>
      </c>
      <c r="I1181">
        <v>899</v>
      </c>
      <c r="J1181">
        <v>899</v>
      </c>
      <c r="K1181" t="str">
        <f>TEXT(Table1[[#This Row],[Date]],"dddd")</f>
        <v>Sunday</v>
      </c>
      <c r="L1181" t="str">
        <f>TEXT(Table1[[#This Row],[Date]],"mmm-yyyy")</f>
        <v>Dec-2023</v>
      </c>
      <c r="M1181">
        <f>HOUR(Table1[[#This Row],[Time]])</f>
        <v>22</v>
      </c>
    </row>
    <row r="1182" spans="1:13" x14ac:dyDescent="0.3">
      <c r="A1182">
        <v>2181</v>
      </c>
      <c r="B1182" s="3">
        <v>45285.231859884261</v>
      </c>
      <c r="C1182" s="1">
        <v>45285.231859884261</v>
      </c>
      <c r="D1182" t="s">
        <v>38</v>
      </c>
      <c r="E1182" t="s">
        <v>10</v>
      </c>
      <c r="F1182" t="s">
        <v>18</v>
      </c>
      <c r="G1182" t="s">
        <v>40</v>
      </c>
      <c r="H1182">
        <v>2</v>
      </c>
      <c r="I1182">
        <v>260</v>
      </c>
      <c r="J1182">
        <v>520</v>
      </c>
      <c r="K1182" t="str">
        <f>TEXT(Table1[[#This Row],[Date]],"dddd")</f>
        <v>Monday</v>
      </c>
      <c r="L1182" t="str">
        <f>TEXT(Table1[[#This Row],[Date]],"mmm-yyyy")</f>
        <v>Dec-2023</v>
      </c>
      <c r="M1182">
        <f>HOUR(Table1[[#This Row],[Time]])</f>
        <v>5</v>
      </c>
    </row>
    <row r="1183" spans="1:13" x14ac:dyDescent="0.3">
      <c r="A1183">
        <v>2182</v>
      </c>
      <c r="B1183" s="3">
        <v>45285.535446203707</v>
      </c>
      <c r="C1183" s="1">
        <v>45285.535446203707</v>
      </c>
      <c r="D1183" t="s">
        <v>242</v>
      </c>
      <c r="E1183" t="s">
        <v>10</v>
      </c>
      <c r="F1183" t="s">
        <v>15</v>
      </c>
      <c r="G1183" t="s">
        <v>25</v>
      </c>
      <c r="H1183">
        <v>4</v>
      </c>
      <c r="I1183">
        <v>883</v>
      </c>
      <c r="J1183">
        <v>3532</v>
      </c>
      <c r="K1183" t="str">
        <f>TEXT(Table1[[#This Row],[Date]],"dddd")</f>
        <v>Monday</v>
      </c>
      <c r="L1183" t="str">
        <f>TEXT(Table1[[#This Row],[Date]],"mmm-yyyy")</f>
        <v>Dec-2023</v>
      </c>
      <c r="M1183">
        <f>HOUR(Table1[[#This Row],[Time]])</f>
        <v>12</v>
      </c>
    </row>
    <row r="1184" spans="1:13" x14ac:dyDescent="0.3">
      <c r="A1184">
        <v>2183</v>
      </c>
      <c r="B1184" s="3">
        <v>45285.839032523145</v>
      </c>
      <c r="C1184" s="1">
        <v>45285.839032523145</v>
      </c>
      <c r="D1184" t="s">
        <v>232</v>
      </c>
      <c r="E1184" t="s">
        <v>10</v>
      </c>
      <c r="F1184" t="s">
        <v>39</v>
      </c>
      <c r="G1184" t="s">
        <v>35</v>
      </c>
      <c r="H1184">
        <v>5</v>
      </c>
      <c r="I1184">
        <v>559</v>
      </c>
      <c r="J1184">
        <v>2795</v>
      </c>
      <c r="K1184" t="str">
        <f>TEXT(Table1[[#This Row],[Date]],"dddd")</f>
        <v>Monday</v>
      </c>
      <c r="L1184" t="str">
        <f>TEXT(Table1[[#This Row],[Date]],"mmm-yyyy")</f>
        <v>Dec-2023</v>
      </c>
      <c r="M1184">
        <f>HOUR(Table1[[#This Row],[Time]])</f>
        <v>20</v>
      </c>
    </row>
    <row r="1185" spans="1:13" x14ac:dyDescent="0.3">
      <c r="A1185">
        <v>2184</v>
      </c>
      <c r="B1185" s="3">
        <v>45286.142618854166</v>
      </c>
      <c r="C1185" s="1">
        <v>45286.142618854166</v>
      </c>
      <c r="D1185" t="s">
        <v>129</v>
      </c>
      <c r="E1185" t="s">
        <v>28</v>
      </c>
      <c r="F1185" t="s">
        <v>15</v>
      </c>
      <c r="G1185" t="s">
        <v>42</v>
      </c>
      <c r="H1185">
        <v>2</v>
      </c>
      <c r="I1185">
        <v>649</v>
      </c>
      <c r="J1185">
        <v>1298</v>
      </c>
      <c r="K1185" t="str">
        <f>TEXT(Table1[[#This Row],[Date]],"dddd")</f>
        <v>Tuesday</v>
      </c>
      <c r="L1185" t="str">
        <f>TEXT(Table1[[#This Row],[Date]],"mmm-yyyy")</f>
        <v>Dec-2023</v>
      </c>
      <c r="M1185">
        <f>HOUR(Table1[[#This Row],[Time]])</f>
        <v>3</v>
      </c>
    </row>
    <row r="1186" spans="1:13" x14ac:dyDescent="0.3">
      <c r="A1186">
        <v>2185</v>
      </c>
      <c r="B1186" s="3">
        <v>45286.446205173612</v>
      </c>
      <c r="C1186" s="1">
        <v>45286.446205173612</v>
      </c>
      <c r="D1186" t="s">
        <v>226</v>
      </c>
      <c r="E1186" t="s">
        <v>10</v>
      </c>
      <c r="F1186" t="s">
        <v>15</v>
      </c>
      <c r="G1186" t="s">
        <v>33</v>
      </c>
      <c r="H1186">
        <v>5</v>
      </c>
      <c r="I1186">
        <v>599</v>
      </c>
      <c r="J1186">
        <v>2995</v>
      </c>
      <c r="K1186" t="str">
        <f>TEXT(Table1[[#This Row],[Date]],"dddd")</f>
        <v>Tuesday</v>
      </c>
      <c r="L1186" t="str">
        <f>TEXT(Table1[[#This Row],[Date]],"mmm-yyyy")</f>
        <v>Dec-2023</v>
      </c>
      <c r="M1186">
        <f>HOUR(Table1[[#This Row],[Time]])</f>
        <v>10</v>
      </c>
    </row>
    <row r="1187" spans="1:13" x14ac:dyDescent="0.3">
      <c r="A1187">
        <v>2186</v>
      </c>
      <c r="B1187" s="3">
        <v>45286.749791493057</v>
      </c>
      <c r="C1187" s="1">
        <v>45286.749791493057</v>
      </c>
      <c r="D1187" t="s">
        <v>315</v>
      </c>
      <c r="E1187" t="s">
        <v>28</v>
      </c>
      <c r="F1187" t="s">
        <v>15</v>
      </c>
      <c r="G1187" t="s">
        <v>42</v>
      </c>
      <c r="H1187">
        <v>3</v>
      </c>
      <c r="I1187">
        <v>837</v>
      </c>
      <c r="J1187">
        <v>2511</v>
      </c>
      <c r="K1187" t="str">
        <f>TEXT(Table1[[#This Row],[Date]],"dddd")</f>
        <v>Tuesday</v>
      </c>
      <c r="L1187" t="str">
        <f>TEXT(Table1[[#This Row],[Date]],"mmm-yyyy")</f>
        <v>Dec-2023</v>
      </c>
      <c r="M1187">
        <f>HOUR(Table1[[#This Row],[Time]])</f>
        <v>17</v>
      </c>
    </row>
    <row r="1188" spans="1:13" x14ac:dyDescent="0.3">
      <c r="A1188">
        <v>2187</v>
      </c>
      <c r="B1188" s="3">
        <v>45287.053377812503</v>
      </c>
      <c r="C1188" s="1">
        <v>45287.053377812503</v>
      </c>
      <c r="D1188" t="s">
        <v>228</v>
      </c>
      <c r="E1188" t="s">
        <v>17</v>
      </c>
      <c r="F1188" t="s">
        <v>15</v>
      </c>
      <c r="G1188" t="s">
        <v>25</v>
      </c>
      <c r="H1188">
        <v>1</v>
      </c>
      <c r="I1188">
        <v>608</v>
      </c>
      <c r="J1188">
        <v>608</v>
      </c>
      <c r="K1188" t="str">
        <f>TEXT(Table1[[#This Row],[Date]],"dddd")</f>
        <v>Wednesday</v>
      </c>
      <c r="L1188" t="str">
        <f>TEXT(Table1[[#This Row],[Date]],"mmm-yyyy")</f>
        <v>Dec-2023</v>
      </c>
      <c r="M1188">
        <f>HOUR(Table1[[#This Row],[Time]])</f>
        <v>1</v>
      </c>
    </row>
    <row r="1189" spans="1:13" x14ac:dyDescent="0.3">
      <c r="A1189">
        <v>2188</v>
      </c>
      <c r="B1189" s="3">
        <v>45287.356964131941</v>
      </c>
      <c r="C1189" s="1">
        <v>45287.356964131941</v>
      </c>
      <c r="D1189" t="s">
        <v>137</v>
      </c>
      <c r="E1189" t="s">
        <v>10</v>
      </c>
      <c r="F1189" t="s">
        <v>24</v>
      </c>
      <c r="G1189" t="s">
        <v>22</v>
      </c>
      <c r="H1189">
        <v>3</v>
      </c>
      <c r="I1189">
        <v>753</v>
      </c>
      <c r="J1189">
        <v>2259</v>
      </c>
      <c r="K1189" t="str">
        <f>TEXT(Table1[[#This Row],[Date]],"dddd")</f>
        <v>Wednesday</v>
      </c>
      <c r="L1189" t="str">
        <f>TEXT(Table1[[#This Row],[Date]],"mmm-yyyy")</f>
        <v>Dec-2023</v>
      </c>
      <c r="M1189">
        <f>HOUR(Table1[[#This Row],[Time]])</f>
        <v>8</v>
      </c>
    </row>
    <row r="1190" spans="1:13" x14ac:dyDescent="0.3">
      <c r="A1190">
        <v>2189</v>
      </c>
      <c r="B1190" s="3">
        <v>45287.660550462962</v>
      </c>
      <c r="C1190" s="1">
        <v>45287.660550462962</v>
      </c>
      <c r="D1190" t="s">
        <v>123</v>
      </c>
      <c r="E1190" t="s">
        <v>28</v>
      </c>
      <c r="F1190" t="s">
        <v>11</v>
      </c>
      <c r="G1190" t="s">
        <v>35</v>
      </c>
      <c r="H1190">
        <v>2</v>
      </c>
      <c r="I1190">
        <v>903</v>
      </c>
      <c r="J1190">
        <v>1806</v>
      </c>
      <c r="K1190" t="str">
        <f>TEXT(Table1[[#This Row],[Date]],"dddd")</f>
        <v>Wednesday</v>
      </c>
      <c r="L1190" t="str">
        <f>TEXT(Table1[[#This Row],[Date]],"mmm-yyyy")</f>
        <v>Dec-2023</v>
      </c>
      <c r="M1190">
        <f>HOUR(Table1[[#This Row],[Time]])</f>
        <v>15</v>
      </c>
    </row>
    <row r="1191" spans="1:13" x14ac:dyDescent="0.3">
      <c r="A1191">
        <v>2190</v>
      </c>
      <c r="B1191" s="3">
        <v>45287.964136782408</v>
      </c>
      <c r="C1191" s="1">
        <v>45287.964136782408</v>
      </c>
      <c r="D1191" t="s">
        <v>254</v>
      </c>
      <c r="E1191" t="s">
        <v>17</v>
      </c>
      <c r="F1191" t="s">
        <v>39</v>
      </c>
      <c r="G1191" t="s">
        <v>22</v>
      </c>
      <c r="H1191">
        <v>4</v>
      </c>
      <c r="I1191">
        <v>580</v>
      </c>
      <c r="J1191">
        <v>2320</v>
      </c>
      <c r="K1191" t="str">
        <f>TEXT(Table1[[#This Row],[Date]],"dddd")</f>
        <v>Wednesday</v>
      </c>
      <c r="L1191" t="str">
        <f>TEXT(Table1[[#This Row],[Date]],"mmm-yyyy")</f>
        <v>Dec-2023</v>
      </c>
      <c r="M1191">
        <f>HOUR(Table1[[#This Row],[Time]])</f>
        <v>23</v>
      </c>
    </row>
    <row r="1192" spans="1:13" x14ac:dyDescent="0.3">
      <c r="A1192">
        <v>2191</v>
      </c>
      <c r="B1192" s="3">
        <v>45288.267723101853</v>
      </c>
      <c r="C1192" s="1">
        <v>45288.267723101853</v>
      </c>
      <c r="D1192" t="s">
        <v>116</v>
      </c>
      <c r="E1192" t="s">
        <v>17</v>
      </c>
      <c r="F1192" t="s">
        <v>18</v>
      </c>
      <c r="G1192" t="s">
        <v>25</v>
      </c>
      <c r="H1192">
        <v>5</v>
      </c>
      <c r="I1192">
        <v>762</v>
      </c>
      <c r="J1192">
        <v>3810</v>
      </c>
      <c r="K1192" t="str">
        <f>TEXT(Table1[[#This Row],[Date]],"dddd")</f>
        <v>Thursday</v>
      </c>
      <c r="L1192" t="str">
        <f>TEXT(Table1[[#This Row],[Date]],"mmm-yyyy")</f>
        <v>Dec-2023</v>
      </c>
      <c r="M1192">
        <f>HOUR(Table1[[#This Row],[Time]])</f>
        <v>6</v>
      </c>
    </row>
    <row r="1193" spans="1:13" x14ac:dyDescent="0.3">
      <c r="A1193">
        <v>2192</v>
      </c>
      <c r="B1193" s="3">
        <v>45288.571309421299</v>
      </c>
      <c r="C1193" s="1">
        <v>45288.571309421299</v>
      </c>
      <c r="D1193" t="s">
        <v>43</v>
      </c>
      <c r="E1193" t="s">
        <v>10</v>
      </c>
      <c r="F1193" t="s">
        <v>18</v>
      </c>
      <c r="G1193" t="s">
        <v>35</v>
      </c>
      <c r="H1193">
        <v>1</v>
      </c>
      <c r="I1193">
        <v>213</v>
      </c>
      <c r="J1193">
        <v>213</v>
      </c>
      <c r="K1193" t="str">
        <f>TEXT(Table1[[#This Row],[Date]],"dddd")</f>
        <v>Thursday</v>
      </c>
      <c r="L1193" t="str">
        <f>TEXT(Table1[[#This Row],[Date]],"mmm-yyyy")</f>
        <v>Dec-2023</v>
      </c>
      <c r="M1193">
        <f>HOUR(Table1[[#This Row],[Time]])</f>
        <v>13</v>
      </c>
    </row>
    <row r="1194" spans="1:13" x14ac:dyDescent="0.3">
      <c r="A1194">
        <v>2193</v>
      </c>
      <c r="B1194" s="3">
        <v>45288.874895740744</v>
      </c>
      <c r="C1194" s="1">
        <v>45288.874895740744</v>
      </c>
      <c r="D1194" t="s">
        <v>170</v>
      </c>
      <c r="E1194" t="s">
        <v>14</v>
      </c>
      <c r="F1194" t="s">
        <v>11</v>
      </c>
      <c r="G1194" t="s">
        <v>12</v>
      </c>
      <c r="H1194">
        <v>5</v>
      </c>
      <c r="I1194">
        <v>848</v>
      </c>
      <c r="J1194">
        <v>4240</v>
      </c>
      <c r="K1194" t="str">
        <f>TEXT(Table1[[#This Row],[Date]],"dddd")</f>
        <v>Thursday</v>
      </c>
      <c r="L1194" t="str">
        <f>TEXT(Table1[[#This Row],[Date]],"mmm-yyyy")</f>
        <v>Dec-2023</v>
      </c>
      <c r="M1194">
        <f>HOUR(Table1[[#This Row],[Time]])</f>
        <v>20</v>
      </c>
    </row>
    <row r="1195" spans="1:13" x14ac:dyDescent="0.3">
      <c r="A1195">
        <v>2194</v>
      </c>
      <c r="B1195" s="3">
        <v>45289.178482071758</v>
      </c>
      <c r="C1195" s="1">
        <v>45289.178482071758</v>
      </c>
      <c r="D1195" t="s">
        <v>189</v>
      </c>
      <c r="E1195" t="s">
        <v>14</v>
      </c>
      <c r="F1195" t="s">
        <v>15</v>
      </c>
      <c r="G1195" t="s">
        <v>25</v>
      </c>
      <c r="H1195">
        <v>2</v>
      </c>
      <c r="I1195">
        <v>677</v>
      </c>
      <c r="J1195">
        <v>1354</v>
      </c>
      <c r="K1195" t="str">
        <f>TEXT(Table1[[#This Row],[Date]],"dddd")</f>
        <v>Friday</v>
      </c>
      <c r="L1195" t="str">
        <f>TEXT(Table1[[#This Row],[Date]],"mmm-yyyy")</f>
        <v>Dec-2023</v>
      </c>
      <c r="M1195">
        <f>HOUR(Table1[[#This Row],[Time]])</f>
        <v>4</v>
      </c>
    </row>
    <row r="1196" spans="1:13" x14ac:dyDescent="0.3">
      <c r="A1196">
        <v>2195</v>
      </c>
      <c r="B1196" s="3">
        <v>45289.482068391204</v>
      </c>
      <c r="C1196" s="1">
        <v>45289.482068391204</v>
      </c>
      <c r="D1196" t="s">
        <v>59</v>
      </c>
      <c r="E1196" t="s">
        <v>17</v>
      </c>
      <c r="F1196" t="s">
        <v>15</v>
      </c>
      <c r="G1196" t="s">
        <v>56</v>
      </c>
      <c r="H1196">
        <v>5</v>
      </c>
      <c r="I1196">
        <v>460</v>
      </c>
      <c r="J1196">
        <v>2300</v>
      </c>
      <c r="K1196" t="str">
        <f>TEXT(Table1[[#This Row],[Date]],"dddd")</f>
        <v>Friday</v>
      </c>
      <c r="L1196" t="str">
        <f>TEXT(Table1[[#This Row],[Date]],"mmm-yyyy")</f>
        <v>Dec-2023</v>
      </c>
      <c r="M1196">
        <f>HOUR(Table1[[#This Row],[Time]])</f>
        <v>11</v>
      </c>
    </row>
    <row r="1197" spans="1:13" x14ac:dyDescent="0.3">
      <c r="A1197">
        <v>2196</v>
      </c>
      <c r="B1197" s="3">
        <v>45289.785654710649</v>
      </c>
      <c r="C1197" s="1">
        <v>45289.785654710649</v>
      </c>
      <c r="D1197" t="s">
        <v>168</v>
      </c>
      <c r="E1197" t="s">
        <v>14</v>
      </c>
      <c r="F1197" t="s">
        <v>39</v>
      </c>
      <c r="G1197" t="s">
        <v>33</v>
      </c>
      <c r="H1197">
        <v>1</v>
      </c>
      <c r="I1197">
        <v>440</v>
      </c>
      <c r="J1197">
        <v>440</v>
      </c>
      <c r="K1197" t="str">
        <f>TEXT(Table1[[#This Row],[Date]],"dddd")</f>
        <v>Friday</v>
      </c>
      <c r="L1197" t="str">
        <f>TEXT(Table1[[#This Row],[Date]],"mmm-yyyy")</f>
        <v>Dec-2023</v>
      </c>
      <c r="M1197">
        <f>HOUR(Table1[[#This Row],[Time]])</f>
        <v>18</v>
      </c>
    </row>
    <row r="1198" spans="1:13" x14ac:dyDescent="0.3">
      <c r="A1198">
        <v>2197</v>
      </c>
      <c r="B1198" s="3">
        <v>45290.089241030095</v>
      </c>
      <c r="C1198" s="1">
        <v>45290.089241030095</v>
      </c>
      <c r="D1198" t="s">
        <v>140</v>
      </c>
      <c r="E1198" t="s">
        <v>14</v>
      </c>
      <c r="F1198" t="s">
        <v>18</v>
      </c>
      <c r="G1198" t="s">
        <v>12</v>
      </c>
      <c r="H1198">
        <v>2</v>
      </c>
      <c r="I1198">
        <v>869</v>
      </c>
      <c r="J1198">
        <v>1738</v>
      </c>
      <c r="K1198" t="str">
        <f>TEXT(Table1[[#This Row],[Date]],"dddd")</f>
        <v>Saturday</v>
      </c>
      <c r="L1198" t="str">
        <f>TEXT(Table1[[#This Row],[Date]],"mmm-yyyy")</f>
        <v>Dec-2023</v>
      </c>
      <c r="M1198">
        <f>HOUR(Table1[[#This Row],[Time]])</f>
        <v>2</v>
      </c>
    </row>
    <row r="1199" spans="1:13" x14ac:dyDescent="0.3">
      <c r="A1199">
        <v>2198</v>
      </c>
      <c r="B1199" s="3">
        <v>45290.392827361109</v>
      </c>
      <c r="C1199" s="1">
        <v>45290.392827361109</v>
      </c>
      <c r="D1199" t="s">
        <v>298</v>
      </c>
      <c r="E1199" t="s">
        <v>28</v>
      </c>
      <c r="F1199" t="s">
        <v>15</v>
      </c>
      <c r="G1199" t="s">
        <v>19</v>
      </c>
      <c r="H1199">
        <v>5</v>
      </c>
      <c r="I1199">
        <v>860</v>
      </c>
      <c r="J1199">
        <v>4300</v>
      </c>
      <c r="K1199" t="str">
        <f>TEXT(Table1[[#This Row],[Date]],"dddd")</f>
        <v>Saturday</v>
      </c>
      <c r="L1199" t="str">
        <f>TEXT(Table1[[#This Row],[Date]],"mmm-yyyy")</f>
        <v>Dec-2023</v>
      </c>
      <c r="M1199">
        <f>HOUR(Table1[[#This Row],[Time]])</f>
        <v>9</v>
      </c>
    </row>
    <row r="1200" spans="1:13" x14ac:dyDescent="0.3">
      <c r="A1200">
        <v>2199</v>
      </c>
      <c r="B1200" s="3">
        <v>45290.696413680555</v>
      </c>
      <c r="C1200" s="1">
        <v>45290.696413680555</v>
      </c>
      <c r="D1200" t="s">
        <v>254</v>
      </c>
      <c r="E1200" t="s">
        <v>28</v>
      </c>
      <c r="F1200" t="s">
        <v>24</v>
      </c>
      <c r="G1200" t="s">
        <v>29</v>
      </c>
      <c r="H1200">
        <v>4</v>
      </c>
      <c r="I1200">
        <v>548</v>
      </c>
      <c r="J1200">
        <v>2192</v>
      </c>
      <c r="K1200" t="str">
        <f>TEXT(Table1[[#This Row],[Date]],"dddd")</f>
        <v>Saturday</v>
      </c>
      <c r="L1200" t="str">
        <f>TEXT(Table1[[#This Row],[Date]],"mmm-yyyy")</f>
        <v>Dec-2023</v>
      </c>
      <c r="M1200">
        <f>HOUR(Table1[[#This Row],[Time]])</f>
        <v>16</v>
      </c>
    </row>
    <row r="1201" spans="1:13" x14ac:dyDescent="0.3">
      <c r="A1201">
        <v>2200</v>
      </c>
      <c r="B1201" s="3">
        <v>45291</v>
      </c>
      <c r="C1201" s="1">
        <v>45291</v>
      </c>
      <c r="D1201" t="s">
        <v>61</v>
      </c>
      <c r="E1201" t="s">
        <v>28</v>
      </c>
      <c r="F1201" t="s">
        <v>39</v>
      </c>
      <c r="G1201" t="s">
        <v>35</v>
      </c>
      <c r="H1201">
        <v>2</v>
      </c>
      <c r="I1201">
        <v>942</v>
      </c>
      <c r="J1201">
        <v>1884</v>
      </c>
      <c r="K1201" t="str">
        <f>TEXT(Table1[[#This Row],[Date]],"dddd")</f>
        <v>Sunday</v>
      </c>
      <c r="L1201" t="str">
        <f>TEXT(Table1[[#This Row],[Date]],"mmm-yyyy")</f>
        <v>Dec-2023</v>
      </c>
      <c r="M1201">
        <f>HOUR(Table1[[#This Row],[Time]])</f>
        <v>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2D3A-17E1-4450-9D6B-2AD0559741BF}">
  <dimension ref="A1:B3"/>
  <sheetViews>
    <sheetView showGridLines="0" tabSelected="1" zoomScale="70" zoomScaleNormal="70" workbookViewId="0">
      <selection activeCell="AC20" sqref="AC20"/>
    </sheetView>
  </sheetViews>
  <sheetFormatPr defaultRowHeight="14.4" x14ac:dyDescent="0.3"/>
  <cols>
    <col min="1" max="1" width="12.88671875" customWidth="1"/>
  </cols>
  <sheetData>
    <row r="1" spans="1:2" x14ac:dyDescent="0.3">
      <c r="A1" s="8"/>
      <c r="B1" s="8"/>
    </row>
    <row r="3" spans="1:2" x14ac:dyDescent="0.3">
      <c r="A3" s="2"/>
    </row>
  </sheetData>
  <mergeCells count="1">
    <mergeCell ref="A1:B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F9865E6-54B3-425F-87AC-AE765311692D}">
  <ds:schemaRefs/>
</ds:datastoreItem>
</file>

<file path=customXml/itemProps2.xml><?xml version="1.0" encoding="utf-8"?>
<ds:datastoreItem xmlns:ds="http://schemas.openxmlformats.org/officeDocument/2006/customXml" ds:itemID="{7301B918-07AB-4A69-A5DB-7C823EE1F1AA}">
  <ds:schemaRefs/>
</ds:datastoreItem>
</file>

<file path=customXml/itemProps3.xml><?xml version="1.0" encoding="utf-8"?>
<ds:datastoreItem xmlns:ds="http://schemas.openxmlformats.org/officeDocument/2006/customXml" ds:itemID="{1F889A8F-E95F-4532-B3C9-44377905A769}">
  <ds:schemaRefs/>
</ds:datastoreItem>
</file>

<file path=customXml/itemProps4.xml><?xml version="1.0" encoding="utf-8"?>
<ds:datastoreItem xmlns:ds="http://schemas.openxmlformats.org/officeDocument/2006/customXml" ds:itemID="{16443039-F7E4-4BFA-A580-683A972AC6AF}">
  <ds:schemaRefs/>
</ds:datastoreItem>
</file>

<file path=customXml/itemProps5.xml><?xml version="1.0" encoding="utf-8"?>
<ds:datastoreItem xmlns:ds="http://schemas.openxmlformats.org/officeDocument/2006/customXml" ds:itemID="{D1C704E7-436B-45BA-8746-AF294EA722BF}">
  <ds:schemaRefs/>
</ds:datastoreItem>
</file>

<file path=customXml/itemProps6.xml><?xml version="1.0" encoding="utf-8"?>
<ds:datastoreItem xmlns:ds="http://schemas.openxmlformats.org/officeDocument/2006/customXml" ds:itemID="{A5EB4C7C-88D2-43D2-A63F-A92C809578F6}">
  <ds:schemaRefs/>
</ds:datastoreItem>
</file>

<file path=customXml/itemProps7.xml><?xml version="1.0" encoding="utf-8"?>
<ds:datastoreItem xmlns:ds="http://schemas.openxmlformats.org/officeDocument/2006/customXml" ds:itemID="{950E0702-D7E7-4D85-9475-6DC5C60B8A5C}">
  <ds:schemaRefs/>
</ds:datastoreItem>
</file>

<file path=customXml/itemProps8.xml><?xml version="1.0" encoding="utf-8"?>
<ds:datastoreItem xmlns:ds="http://schemas.openxmlformats.org/officeDocument/2006/customXml" ds:itemID="{2B113D1A-86A3-47C6-8814-CBE64D608E99}">
  <ds:schemaRefs/>
</ds:datastoreItem>
</file>

<file path=customXml/itemProps9.xml><?xml version="1.0" encoding="utf-8"?>
<ds:datastoreItem xmlns:ds="http://schemas.openxmlformats.org/officeDocument/2006/customXml" ds:itemID="{DF452A49-E6F8-419F-8CA4-89A731EE3076}">
  <ds:schemaRefs/>
</ds:datastoreItem>
</file>

<file path=customXml/itemProps10.xml><?xml version="1.0" encoding="utf-8"?>
<ds:datastoreItem xmlns:ds="http://schemas.openxmlformats.org/officeDocument/2006/customXml" ds:itemID="{6C5C713F-AB9C-4E25-9AE7-49E98A906F38}">
  <ds:schemaRefs/>
</ds:datastoreItem>
</file>

<file path=customXml/itemProps11.xml><?xml version="1.0" encoding="utf-8"?>
<ds:datastoreItem xmlns:ds="http://schemas.openxmlformats.org/officeDocument/2006/customXml" ds:itemID="{BDEC7E8E-6339-46E4-AD0B-F801F639A6A3}">
  <ds:schemaRefs/>
</ds:datastoreItem>
</file>

<file path=customXml/itemProps12.xml><?xml version="1.0" encoding="utf-8"?>
<ds:datastoreItem xmlns:ds="http://schemas.openxmlformats.org/officeDocument/2006/customXml" ds:itemID="{E648410A-CCA4-483A-8198-C06E854D7C1F}">
  <ds:schemaRefs/>
</ds:datastoreItem>
</file>

<file path=customXml/itemProps13.xml><?xml version="1.0" encoding="utf-8"?>
<ds:datastoreItem xmlns:ds="http://schemas.openxmlformats.org/officeDocument/2006/customXml" ds:itemID="{834D9666-7BF2-4058-AD82-442A95AA7D98}">
  <ds:schemaRefs/>
</ds:datastoreItem>
</file>

<file path=customXml/itemProps14.xml><?xml version="1.0" encoding="utf-8"?>
<ds:datastoreItem xmlns:ds="http://schemas.openxmlformats.org/officeDocument/2006/customXml" ds:itemID="{3E606732-FEC1-4DA8-863D-31DA58FDC167}">
  <ds:schemaRefs/>
</ds:datastoreItem>
</file>

<file path=customXml/itemProps15.xml><?xml version="1.0" encoding="utf-8"?>
<ds:datastoreItem xmlns:ds="http://schemas.openxmlformats.org/officeDocument/2006/customXml" ds:itemID="{D4659B11-BFE7-4DB3-90EB-750828A2FC42}">
  <ds:schemaRefs/>
</ds:datastoreItem>
</file>

<file path=customXml/itemProps16.xml><?xml version="1.0" encoding="utf-8"?>
<ds:datastoreItem xmlns:ds="http://schemas.openxmlformats.org/officeDocument/2006/customXml" ds:itemID="{03B9B83A-C9D6-4590-9C40-865FD072FA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manushree madhwani</cp:lastModifiedBy>
  <dcterms:created xsi:type="dcterms:W3CDTF">2026-04-07T10:38:53Z</dcterms:created>
  <dcterms:modified xsi:type="dcterms:W3CDTF">2026-04-08T13:47:55Z</dcterms:modified>
</cp:coreProperties>
</file>