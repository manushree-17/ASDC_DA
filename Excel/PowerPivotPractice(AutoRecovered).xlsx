
<file path=[Content_Types].xml><?xml version="1.0" encoding="utf-8"?>
<Types xmlns="http://schemas.openxmlformats.org/package/2006/content-type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6e277aa2130570a1/Documents/"/>
    </mc:Choice>
  </mc:AlternateContent>
  <xr:revisionPtr revIDLastSave="0" documentId="8_{C39CE21B-C774-40A0-A8D2-5D60E3B562C7}" xr6:coauthVersionLast="47" xr6:coauthVersionMax="47" xr10:uidLastSave="{00000000-0000-0000-0000-000000000000}"/>
  <bookViews>
    <workbookView xWindow="-108" yWindow="-108" windowWidth="23256" windowHeight="13176" activeTab="2" xr2:uid="{FFBEA871-1280-4411-BC9C-E206262729D0}"/>
  </bookViews>
  <sheets>
    <sheet name="Table" sheetId="3" r:id="rId1"/>
    <sheet name="SalesData" sheetId="2" r:id="rId2"/>
    <sheet name="Dashboard" sheetId="4" r:id="rId3"/>
  </sheets>
  <definedNames>
    <definedName name="_xlcn.WorksheetConnection_Book1SalesData" hidden="1">SalesData[]</definedName>
    <definedName name="ExternalData_1" localSheetId="1" hidden="1">SalesData!$A$1:$L$1001</definedName>
    <definedName name="Slicer_Category">#N/A</definedName>
    <definedName name="Slicer_City">#N/A</definedName>
    <definedName name="Slicer_Date__Year">#N/A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fileRecoveryPr repairLoad="1"/>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 name="Sales" connection="WorksheetConnection_Book1!SalesData"/>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 i="3" l="1"/>
  <c r="D22" i="3"/>
  <c r="C22" i="3"/>
  <c r="B22" i="3"/>
  <c r="A2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FF3BCD-A94B-4239-92AA-17908A7135CC}"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 id="2" xr16:uid="{00912088-4627-4CCB-8BAC-51EB809058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49DBE91-884F-4072-91D4-C974BE3B76A0}" name="WorksheetConnection_Book1!SalesData" type="102" refreshedVersion="8" minRefreshableVersion="5">
    <extLst>
      <ext xmlns:x15="http://schemas.microsoft.com/office/spreadsheetml/2010/11/main" uri="{DE250136-89BD-433C-8126-D09CA5730AF9}">
        <x15:connection id="SalesData">
          <x15:rangePr sourceName="_xlcn.WorksheetConnection_Book1SalesData"/>
        </x15:connection>
      </ext>
    </extLst>
  </connection>
</connections>
</file>

<file path=xl/sharedStrings.xml><?xml version="1.0" encoding="utf-8"?>
<sst xmlns="http://schemas.openxmlformats.org/spreadsheetml/2006/main" count="6080" uniqueCount="69">
  <si>
    <t>OrderID</t>
  </si>
  <si>
    <t>Date</t>
  </si>
  <si>
    <t>Year</t>
  </si>
  <si>
    <t>Month</t>
  </si>
  <si>
    <t>Region</t>
  </si>
  <si>
    <t>State</t>
  </si>
  <si>
    <t>City</t>
  </si>
  <si>
    <t>Product</t>
  </si>
  <si>
    <t>Category</t>
  </si>
  <si>
    <t>SalesAmount</t>
  </si>
  <si>
    <t>Cost</t>
  </si>
  <si>
    <t>Quantity</t>
  </si>
  <si>
    <t>Oct</t>
  </si>
  <si>
    <t>South</t>
  </si>
  <si>
    <t>Tamil Nadu</t>
  </si>
  <si>
    <t>Chennai</t>
  </si>
  <si>
    <t>Laptop</t>
  </si>
  <si>
    <t>Electronics</t>
  </si>
  <si>
    <t>May</t>
  </si>
  <si>
    <t>North</t>
  </si>
  <si>
    <t>Punjab</t>
  </si>
  <si>
    <t>Amritsar</t>
  </si>
  <si>
    <t>Chair</t>
  </si>
  <si>
    <t>Furniture</t>
  </si>
  <si>
    <t>West</t>
  </si>
  <si>
    <t>Gujarat</t>
  </si>
  <si>
    <t>Ahmedabad</t>
  </si>
  <si>
    <t>Tablet</t>
  </si>
  <si>
    <t>Jul</t>
  </si>
  <si>
    <t>Surat</t>
  </si>
  <si>
    <t>Desk</t>
  </si>
  <si>
    <t>Jun</t>
  </si>
  <si>
    <t>Maharashtra</t>
  </si>
  <si>
    <t>Mumbai</t>
  </si>
  <si>
    <t>Sofa</t>
  </si>
  <si>
    <t>Jan</t>
  </si>
  <si>
    <t>Karnataka</t>
  </si>
  <si>
    <t>Bangalore</t>
  </si>
  <si>
    <t>Apr</t>
  </si>
  <si>
    <t>Nov</t>
  </si>
  <si>
    <t>Delhi</t>
  </si>
  <si>
    <t>Table</t>
  </si>
  <si>
    <t>Sep</t>
  </si>
  <si>
    <t>Kerala</t>
  </si>
  <si>
    <t>Kochi</t>
  </si>
  <si>
    <t>Feb</t>
  </si>
  <si>
    <t>Mobile</t>
  </si>
  <si>
    <t>Dec</t>
  </si>
  <si>
    <t>Aug</t>
  </si>
  <si>
    <t>Mar</t>
  </si>
  <si>
    <t>Column Labels</t>
  </si>
  <si>
    <t>Grand Total</t>
  </si>
  <si>
    <t>2023</t>
  </si>
  <si>
    <t>2024</t>
  </si>
  <si>
    <t>Sum of SalesAmount</t>
  </si>
  <si>
    <t>Row Labels</t>
  </si>
  <si>
    <t>Sales Trend</t>
  </si>
  <si>
    <t>Sales by product</t>
  </si>
  <si>
    <t>Sales by state</t>
  </si>
  <si>
    <t>Sum of Profit</t>
  </si>
  <si>
    <t>Profit by product</t>
  </si>
  <si>
    <t>Sales by category</t>
  </si>
  <si>
    <t>Total Sales</t>
  </si>
  <si>
    <t>Profit %</t>
  </si>
  <si>
    <t>Growth %</t>
  </si>
  <si>
    <t>Overall KPI</t>
  </si>
  <si>
    <t>DASHBOARD KPIS</t>
  </si>
  <si>
    <t>Total Cost</t>
  </si>
  <si>
    <t>Excellent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</si>
</sst>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rgb="FF00B050"/>
        <bgColor indexed="64"/>
      </patternFill>
    </fill>
  </fills>
  <borders count="2">
    <border>
      <left/>
      <right/>
      <top/>
      <bottom/>
      <diagonal/>
    </border>
    <border>
      <left style="thin">
        <color indexed="64"/>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9" fontId="0" fillId="0" borderId="0" xfId="1" applyFont="1"/>
    <xf numFmtId="0" fontId="1" fillId="3" borderId="1" xfId="0" applyFont="1" applyFill="1" applyBorder="1" applyAlignment="1">
      <alignment horizontal="center"/>
    </xf>
    <xf numFmtId="0" fontId="1" fillId="3"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000114"/>
      <color rgb="FF0D01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5.xml"/><Relationship Id="rId11" Type="http://schemas.openxmlformats.org/officeDocument/2006/relationships/pivotCacheDefinition" Target="pivotCache/pivotCacheDefinition8.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5.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[PowerPivotPractice(AutoRecovered).xlsx]Table!PivotTable1</c:name>
    <c:fmtId val="7"/>
  </c:pivotSource>
  <c:chart>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Table!$B$2:$B$4</c:f>
              <c:strCache>
                <c:ptCount val="1"/>
                <c:pt idx="0">
                  <c:v>2023</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Table!$B$5:$B$17</c:f>
              <c:numCache>
                <c:formatCode>General</c:formatCode>
                <c:ptCount val="12"/>
                <c:pt idx="0">
                  <c:v>861133</c:v>
                </c:pt>
                <c:pt idx="1">
                  <c:v>1038672</c:v>
                </c:pt>
                <c:pt idx="2">
                  <c:v>916328</c:v>
                </c:pt>
                <c:pt idx="3">
                  <c:v>1136488</c:v>
                </c:pt>
                <c:pt idx="4">
                  <c:v>875027</c:v>
                </c:pt>
                <c:pt idx="5">
                  <c:v>924505</c:v>
                </c:pt>
                <c:pt idx="6">
                  <c:v>1049317</c:v>
                </c:pt>
                <c:pt idx="7">
                  <c:v>865705</c:v>
                </c:pt>
                <c:pt idx="8">
                  <c:v>605972</c:v>
                </c:pt>
                <c:pt idx="9">
                  <c:v>1118654</c:v>
                </c:pt>
                <c:pt idx="10">
                  <c:v>954889</c:v>
                </c:pt>
                <c:pt idx="11">
                  <c:v>623824</c:v>
                </c:pt>
              </c:numCache>
            </c:numRef>
          </c:val>
          <c:smooth val="0"/>
          <c:extLst>
            <c:ext xmlns:c16="http://schemas.microsoft.com/office/drawing/2014/chart" uri="{C3380CC4-5D6E-409C-BE32-E72D297353CC}">
              <c16:uniqueId val="{00000000-73E7-4D64-9D97-AA6C9A0B554E}"/>
            </c:ext>
          </c:extLst>
        </c:ser>
        <c:ser>
          <c:idx val="1"/>
          <c:order val="1"/>
          <c:tx>
            <c:strRef>
              <c:f>Table!$C$2:$C$4</c:f>
              <c:strCache>
                <c:ptCount val="1"/>
                <c:pt idx="0">
                  <c:v>2024</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Table!$C$5:$C$17</c:f>
              <c:numCache>
                <c:formatCode>General</c:formatCode>
                <c:ptCount val="12"/>
                <c:pt idx="0">
                  <c:v>713454</c:v>
                </c:pt>
                <c:pt idx="1">
                  <c:v>810418</c:v>
                </c:pt>
                <c:pt idx="2">
                  <c:v>1026310</c:v>
                </c:pt>
                <c:pt idx="3">
                  <c:v>1182766</c:v>
                </c:pt>
                <c:pt idx="4">
                  <c:v>768467</c:v>
                </c:pt>
                <c:pt idx="5">
                  <c:v>1039828</c:v>
                </c:pt>
                <c:pt idx="6">
                  <c:v>1035455</c:v>
                </c:pt>
                <c:pt idx="7">
                  <c:v>828225</c:v>
                </c:pt>
                <c:pt idx="8">
                  <c:v>1215565</c:v>
                </c:pt>
                <c:pt idx="9">
                  <c:v>668902</c:v>
                </c:pt>
                <c:pt idx="10">
                  <c:v>832638</c:v>
                </c:pt>
                <c:pt idx="11">
                  <c:v>986160</c:v>
                </c:pt>
              </c:numCache>
            </c:numRef>
          </c:val>
          <c:smooth val="0"/>
          <c:extLst>
            <c:ext xmlns:c16="http://schemas.microsoft.com/office/drawing/2014/chart" uri="{C3380CC4-5D6E-409C-BE32-E72D297353CC}">
              <c16:uniqueId val="{00000001-73E7-4D64-9D97-AA6C9A0B554E}"/>
            </c:ext>
          </c:extLst>
        </c:ser>
        <c:dLbls>
          <c:showLegendKey val="0"/>
          <c:showVal val="0"/>
          <c:showCatName val="0"/>
          <c:showSerName val="0"/>
          <c:showPercent val="0"/>
          <c:showBubbleSize val="0"/>
        </c:dLbls>
        <c:marker val="1"/>
        <c:smooth val="0"/>
        <c:axId val="1235881327"/>
        <c:axId val="1235881807"/>
      </c:lineChart>
      <c:catAx>
        <c:axId val="123588132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81807"/>
        <c:crosses val="autoZero"/>
        <c:auto val="1"/>
        <c:lblAlgn val="ctr"/>
        <c:lblOffset val="100"/>
        <c:noMultiLvlLbl val="0"/>
      </c:catAx>
      <c:valAx>
        <c:axId val="123588180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8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[PowerPivotPractice(AutoRecovered).xlsx]Table!PivotTable2</c:name>
    <c:fmtId val="6"/>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Table!$G$2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Table!$F$3:$F$10</c:f>
              <c:strCache>
                <c:ptCount val="7"/>
                <c:pt idx="0">
                  <c:v>Chair</c:v>
                </c:pt>
                <c:pt idx="1">
                  <c:v>Desk</c:v>
                </c:pt>
                <c:pt idx="2">
                  <c:v>Laptop</c:v>
                </c:pt>
                <c:pt idx="3">
                  <c:v>Mobile</c:v>
                </c:pt>
                <c:pt idx="4">
                  <c:v>Sofa</c:v>
                </c:pt>
                <c:pt idx="5">
                  <c:v>Table</c:v>
                </c:pt>
                <c:pt idx="6">
                  <c:v>Tablet</c:v>
                </c:pt>
              </c:strCache>
            </c:strRef>
          </c:cat>
          <c:val>
            <c:numRef>
              <c:f>Table!$G$3:$G$10</c:f>
              <c:numCache>
                <c:formatCode>General</c:formatCode>
                <c:ptCount val="7"/>
                <c:pt idx="0">
                  <c:v>1004000</c:v>
                </c:pt>
                <c:pt idx="1">
                  <c:v>1302852</c:v>
                </c:pt>
                <c:pt idx="2">
                  <c:v>7849038</c:v>
                </c:pt>
                <c:pt idx="3">
                  <c:v>2506783</c:v>
                </c:pt>
                <c:pt idx="4">
                  <c:v>3852162</c:v>
                </c:pt>
                <c:pt idx="5">
                  <c:v>1938570</c:v>
                </c:pt>
                <c:pt idx="6">
                  <c:v>3625297</c:v>
                </c:pt>
              </c:numCache>
            </c:numRef>
          </c:val>
          <c:extLst>
            <c:ext xmlns:c16="http://schemas.microsoft.com/office/drawing/2014/chart" uri="{C3380CC4-5D6E-409C-BE32-E72D297353CC}">
              <c16:uniqueId val="{00000000-078D-4FC8-BF81-86F3E7ABA35B}"/>
            </c:ext>
          </c:extLst>
        </c:ser>
        <c:dLbls>
          <c:showLegendKey val="0"/>
          <c:showVal val="1"/>
          <c:showCatName val="0"/>
          <c:showSerName val="0"/>
          <c:showPercent val="0"/>
          <c:showBubbleSize val="0"/>
        </c:dLbls>
        <c:gapWidth val="84"/>
        <c:gapDepth val="53"/>
        <c:shape val="box"/>
        <c:axId val="1235877487"/>
        <c:axId val="1235861167"/>
        <c:axId val="0"/>
      </c:bar3DChart>
      <c:catAx>
        <c:axId val="123587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5861167"/>
        <c:crosses val="autoZero"/>
        <c:auto val="1"/>
        <c:lblAlgn val="ctr"/>
        <c:lblOffset val="100"/>
        <c:noMultiLvlLbl val="0"/>
      </c:catAx>
      <c:valAx>
        <c:axId val="1235861167"/>
        <c:scaling>
          <c:orientation val="minMax"/>
        </c:scaling>
        <c:delete val="1"/>
        <c:axPos val="b"/>
        <c:numFmt formatCode="General" sourceLinked="1"/>
        <c:majorTickMark val="out"/>
        <c:minorTickMark val="none"/>
        <c:tickLblPos val="nextTo"/>
        <c:crossAx val="123587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[PowerPivotPractice(AutoRecovered).xlsx]Table!PivotTable5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a:t>
            </a:r>
            <a:r>
              <a:rPr lang="en-US" baseline="0"/>
              <a:t>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097944006999125"/>
              <c:y val="-7.837124526100904E-2"/>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2697944006999"/>
              <c:y val="0.11022419072615923"/>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097944006999125"/>
              <c:y val="-7.837124526100904E-2"/>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02697944006999"/>
              <c:y val="0.11022419072615923"/>
            </c:manualLayout>
          </c:layout>
          <c:spPr>
            <a:solidFill>
              <a:schemeClr val="accent6">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549525395347097"/>
              <c:y val="-6.4034280661153908E-2"/>
            </c:manualLayout>
          </c:layout>
          <c:spPr>
            <a:solidFill>
              <a:schemeClr val="accent6">
                <a:alpha val="5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50418160095574"/>
                  <c:h val="0.15271225505413971"/>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239672997864514"/>
              <c:y val="0.11978212400869247"/>
            </c:manualLayout>
          </c:layout>
          <c:spPr>
            <a:solidFill>
              <a:schemeClr val="accent6">
                <a:alpha val="5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973734465987451"/>
                  <c:h val="0.13844683393070489"/>
                </c:manualLayout>
              </c15:layout>
            </c:ext>
          </c:extLst>
        </c:dLbl>
      </c:pivotFmt>
    </c:pivotFmts>
    <c:plotArea>
      <c:layout/>
      <c:pieChart>
        <c:varyColors val="1"/>
        <c:ser>
          <c:idx val="0"/>
          <c:order val="0"/>
          <c:tx>
            <c:strRef>
              <c:f>Table!$J$13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245-49AC-8DBB-EFED5187C6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245-49AC-8DBB-EFED5187C6AB}"/>
              </c:ext>
            </c:extLst>
          </c:dPt>
          <c:dLbls>
            <c:dLbl>
              <c:idx val="0"/>
              <c:layout>
                <c:manualLayout>
                  <c:x val="-0.24549525395347097"/>
                  <c:y val="-6.4034280661153908E-2"/>
                </c:manualLayout>
              </c:layout>
              <c:spPr>
                <a:solidFill>
                  <a:schemeClr val="accent6">
                    <a:alpha val="5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450418160095574"/>
                      <c:h val="0.15271225505413971"/>
                    </c:manualLayout>
                  </c15:layout>
                </c:ext>
                <c:ext xmlns:c16="http://schemas.microsoft.com/office/drawing/2014/chart" uri="{C3380CC4-5D6E-409C-BE32-E72D297353CC}">
                  <c16:uniqueId val="{00000001-6245-49AC-8DBB-EFED5187C6AB}"/>
                </c:ext>
              </c:extLst>
            </c:dLbl>
            <c:dLbl>
              <c:idx val="1"/>
              <c:layout>
                <c:manualLayout>
                  <c:x val="0.21239672997864514"/>
                  <c:y val="0.11978212400869247"/>
                </c:manualLayout>
              </c:layout>
              <c:spPr>
                <a:solidFill>
                  <a:schemeClr val="accent6">
                    <a:alpha val="5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973734465987451"/>
                      <c:h val="0.13844683393070489"/>
                    </c:manualLayout>
                  </c15:layout>
                </c:ext>
                <c:ext xmlns:c16="http://schemas.microsoft.com/office/drawing/2014/chart" uri="{C3380CC4-5D6E-409C-BE32-E72D297353CC}">
                  <c16:uniqueId val="{00000003-6245-49AC-8DBB-EFED5187C6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Table!$I$14:$I$16</c:f>
              <c:strCache>
                <c:ptCount val="2"/>
                <c:pt idx="0">
                  <c:v>Electronics</c:v>
                </c:pt>
                <c:pt idx="1">
                  <c:v>Furniture</c:v>
                </c:pt>
              </c:strCache>
            </c:strRef>
          </c:cat>
          <c:val>
            <c:numRef>
              <c:f>Table!$J$14:$J$16</c:f>
              <c:numCache>
                <c:formatCode>General</c:formatCode>
                <c:ptCount val="2"/>
                <c:pt idx="0">
                  <c:v>13981118</c:v>
                </c:pt>
                <c:pt idx="1">
                  <c:v>8097584</c:v>
                </c:pt>
              </c:numCache>
            </c:numRef>
          </c:val>
          <c:extLst>
            <c:ext xmlns:c16="http://schemas.microsoft.com/office/drawing/2014/chart" uri="{C3380CC4-5D6E-409C-BE32-E72D297353CC}">
              <c16:uniqueId val="{00000004-6245-49AC-8DBB-EFED5187C6A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[PowerPivotPractice(AutoRecovered).xlsx]Table!PivotTable4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a:t>
            </a:r>
            <a:r>
              <a:rPr lang="en-IN"/>
              <a:t>Product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Table!$M$2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Table!$L$3:$L$12</c:f>
              <c:multiLvlStrCache>
                <c:ptCount val="7"/>
                <c:lvl>
                  <c:pt idx="0">
                    <c:v>Laptop</c:v>
                  </c:pt>
                  <c:pt idx="1">
                    <c:v>Mobile</c:v>
                  </c:pt>
                  <c:pt idx="2">
                    <c:v>Tablet</c:v>
                  </c:pt>
                  <c:pt idx="3">
                    <c:v>Chair</c:v>
                  </c:pt>
                  <c:pt idx="4">
                    <c:v>Desk</c:v>
                  </c:pt>
                  <c:pt idx="5">
                    <c:v>Sofa</c:v>
                  </c:pt>
                  <c:pt idx="6">
                    <c:v>Table</c:v>
                  </c:pt>
                </c:lvl>
                <c:lvl>
                  <c:pt idx="0">
                    <c:v>Electronics</c:v>
                  </c:pt>
                  <c:pt idx="3">
                    <c:v>Furniture</c:v>
                  </c:pt>
                </c:lvl>
              </c:multiLvlStrCache>
            </c:multiLvlStrRef>
          </c:cat>
          <c:val>
            <c:numRef>
              <c:f>Table!$M$3:$M$12</c:f>
              <c:numCache>
                <c:formatCode>General</c:formatCode>
                <c:ptCount val="7"/>
                <c:pt idx="0">
                  <c:v>2136797</c:v>
                </c:pt>
                <c:pt idx="1">
                  <c:v>664656</c:v>
                </c:pt>
                <c:pt idx="2">
                  <c:v>1034105</c:v>
                </c:pt>
                <c:pt idx="3">
                  <c:v>280437</c:v>
                </c:pt>
                <c:pt idx="4">
                  <c:v>349854</c:v>
                </c:pt>
                <c:pt idx="5">
                  <c:v>1060823</c:v>
                </c:pt>
                <c:pt idx="6">
                  <c:v>521035</c:v>
                </c:pt>
              </c:numCache>
            </c:numRef>
          </c:val>
          <c:extLst>
            <c:ext xmlns:c16="http://schemas.microsoft.com/office/drawing/2014/chart" uri="{C3380CC4-5D6E-409C-BE32-E72D297353CC}">
              <c16:uniqueId val="{00000000-58D5-4BF8-847D-F4627D26ABD9}"/>
            </c:ext>
          </c:extLst>
        </c:ser>
        <c:dLbls>
          <c:dLblPos val="ctr"/>
          <c:showLegendKey val="0"/>
          <c:showVal val="1"/>
          <c:showCatName val="0"/>
          <c:showSerName val="0"/>
          <c:showPercent val="0"/>
          <c:showBubbleSize val="0"/>
        </c:dLbls>
        <c:gapWidth val="150"/>
        <c:overlap val="100"/>
        <c:axId val="117887455"/>
        <c:axId val="117883615"/>
      </c:barChart>
      <c:catAx>
        <c:axId val="117887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883615"/>
        <c:crosses val="autoZero"/>
        <c:auto val="1"/>
        <c:lblAlgn val="ctr"/>
        <c:lblOffset val="100"/>
        <c:noMultiLvlLbl val="0"/>
      </c:catAx>
      <c:valAx>
        <c:axId val="11788361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88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0000"/>
            <a:lumOff val="40000"/>
            <a:tint val="66000"/>
            <a:satMod val="160000"/>
          </a:schemeClr>
        </a:gs>
        <a:gs pos="50000">
          <a:schemeClr val="accent4">
            <a:lumMod val="60000"/>
            <a:lumOff val="40000"/>
            <a:tint val="44500"/>
            <a:satMod val="160000"/>
          </a:schemeClr>
        </a:gs>
        <a:gs pos="100000">
          <a:schemeClr val="accent4">
            <a:lumMod val="60000"/>
            <a:lumOff val="40000"/>
            <a:tint val="23500"/>
            <a:satMod val="160000"/>
          </a:schemeClr>
        </a:gs>
      </a:gsLst>
      <a:path path="circle">
        <a:fillToRect r="100000" b="100000"/>
      </a:path>
      <a:tileRect l="-100000" t="-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[PowerPivotPractice(AutoRecovered).xlsx]Table!PivotTable3</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States</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Table!$J$2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Table!$I$3:$I$10</c:f>
              <c:strCache>
                <c:ptCount val="7"/>
                <c:pt idx="0">
                  <c:v>Delhi</c:v>
                </c:pt>
                <c:pt idx="1">
                  <c:v>Gujarat</c:v>
                </c:pt>
                <c:pt idx="2">
                  <c:v>Karnataka</c:v>
                </c:pt>
                <c:pt idx="3">
                  <c:v>Kerala</c:v>
                </c:pt>
                <c:pt idx="4">
                  <c:v>Maharashtra</c:v>
                </c:pt>
                <c:pt idx="5">
                  <c:v>Punjab</c:v>
                </c:pt>
                <c:pt idx="6">
                  <c:v>Tamil Nadu</c:v>
                </c:pt>
              </c:strCache>
            </c:strRef>
          </c:cat>
          <c:val>
            <c:numRef>
              <c:f>Table!$J$3:$J$10</c:f>
              <c:numCache>
                <c:formatCode>General</c:formatCode>
                <c:ptCount val="7"/>
                <c:pt idx="0">
                  <c:v>3337610</c:v>
                </c:pt>
                <c:pt idx="1">
                  <c:v>4945132</c:v>
                </c:pt>
                <c:pt idx="2">
                  <c:v>2367236</c:v>
                </c:pt>
                <c:pt idx="3">
                  <c:v>2163836</c:v>
                </c:pt>
                <c:pt idx="4">
                  <c:v>3082581</c:v>
                </c:pt>
                <c:pt idx="5">
                  <c:v>3550752</c:v>
                </c:pt>
                <c:pt idx="6">
                  <c:v>2631555</c:v>
                </c:pt>
              </c:numCache>
            </c:numRef>
          </c:val>
          <c:extLst>
            <c:ext xmlns:c16="http://schemas.microsoft.com/office/drawing/2014/chart" uri="{C3380CC4-5D6E-409C-BE32-E72D297353CC}">
              <c16:uniqueId val="{00000000-B4FA-4DFE-921B-E1CDD956F717}"/>
            </c:ext>
          </c:extLst>
        </c:ser>
        <c:dLbls>
          <c:showLegendKey val="0"/>
          <c:showVal val="0"/>
          <c:showCatName val="0"/>
          <c:showSerName val="0"/>
          <c:showPercent val="0"/>
          <c:showBubbleSize val="0"/>
        </c:dLbls>
        <c:gapWidth val="150"/>
        <c:shape val="box"/>
        <c:axId val="1235874607"/>
        <c:axId val="1235873167"/>
        <c:axId val="0"/>
      </c:bar3DChart>
      <c:catAx>
        <c:axId val="12358746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73167"/>
        <c:crosses val="autoZero"/>
        <c:auto val="1"/>
        <c:lblAlgn val="ctr"/>
        <c:lblOffset val="100"/>
        <c:noMultiLvlLbl val="0"/>
      </c:catAx>
      <c:valAx>
        <c:axId val="1235873167"/>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87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19050</xdr:colOff>
      <xdr:row>33</xdr:row>
      <xdr:rowOff>15875</xdr:rowOff>
    </xdr:to>
    <xdr:pic>
      <xdr:nvPicPr>
        <xdr:cNvPr id="3" name="Picture 2">
          <a:extLst>
            <a:ext uri="{FF2B5EF4-FFF2-40B4-BE49-F238E27FC236}">
              <a16:creationId xmlns:a16="http://schemas.microsoft.com/office/drawing/2014/main" id="{FF7848C1-5FAD-966F-FB91-0D2685099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30250" cy="5988050"/>
        </a:xfrm>
        <a:prstGeom prst="rect">
          <a:avLst/>
        </a:prstGeom>
      </xdr:spPr>
    </xdr:pic>
    <xdr:clientData/>
  </xdr:twoCellAnchor>
  <xdr:twoCellAnchor>
    <xdr:from>
      <xdr:col>0</xdr:col>
      <xdr:colOff>0</xdr:colOff>
      <xdr:row>0</xdr:row>
      <xdr:rowOff>0</xdr:rowOff>
    </xdr:from>
    <xdr:to>
      <xdr:col>22</xdr:col>
      <xdr:colOff>9525</xdr:colOff>
      <xdr:row>33</xdr:row>
      <xdr:rowOff>9525</xdr:rowOff>
    </xdr:to>
    <xdr:sp macro="" textlink="">
      <xdr:nvSpPr>
        <xdr:cNvPr id="4" name="Rectangle 3">
          <a:extLst>
            <a:ext uri="{FF2B5EF4-FFF2-40B4-BE49-F238E27FC236}">
              <a16:creationId xmlns:a16="http://schemas.microsoft.com/office/drawing/2014/main" id="{469AA805-0590-362C-5940-6DA9ACE58157}"/>
            </a:ext>
          </a:extLst>
        </xdr:cNvPr>
        <xdr:cNvSpPr/>
      </xdr:nvSpPr>
      <xdr:spPr>
        <a:xfrm>
          <a:off x="0" y="0"/>
          <a:ext cx="13420725" cy="598170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0</xdr:row>
      <xdr:rowOff>104775</xdr:rowOff>
    </xdr:from>
    <xdr:to>
      <xdr:col>3</xdr:col>
      <xdr:colOff>247650</xdr:colOff>
      <xdr:row>32</xdr:row>
      <xdr:rowOff>114300</xdr:rowOff>
    </xdr:to>
    <xdr:sp macro="" textlink="">
      <xdr:nvSpPr>
        <xdr:cNvPr id="5" name="Rectangle: Top Corners Rounded 4">
          <a:extLst>
            <a:ext uri="{FF2B5EF4-FFF2-40B4-BE49-F238E27FC236}">
              <a16:creationId xmlns:a16="http://schemas.microsoft.com/office/drawing/2014/main" id="{EB683E23-4E77-E392-0529-62FFD22A0B85}"/>
            </a:ext>
          </a:extLst>
        </xdr:cNvPr>
        <xdr:cNvSpPr/>
      </xdr:nvSpPr>
      <xdr:spPr>
        <a:xfrm>
          <a:off x="95250" y="104775"/>
          <a:ext cx="1981200" cy="5800725"/>
        </a:xfrm>
        <a:prstGeom prst="round2SameRect">
          <a:avLst>
            <a:gd name="adj1" fmla="val 25321"/>
            <a:gd name="adj2" fmla="val 22115"/>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9525</xdr:colOff>
      <xdr:row>4</xdr:row>
      <xdr:rowOff>47625</xdr:rowOff>
    </xdr:from>
    <xdr:to>
      <xdr:col>15</xdr:col>
      <xdr:colOff>200026</xdr:colOff>
      <xdr:row>18</xdr:row>
      <xdr:rowOff>104775</xdr:rowOff>
    </xdr:to>
    <xdr:sp macro="" textlink="">
      <xdr:nvSpPr>
        <xdr:cNvPr id="6" name="Rectangle: Top Corners Rounded 5">
          <a:extLst>
            <a:ext uri="{FF2B5EF4-FFF2-40B4-BE49-F238E27FC236}">
              <a16:creationId xmlns:a16="http://schemas.microsoft.com/office/drawing/2014/main" id="{1BCC82E7-D9BD-4D6D-8461-054A8240BC05}"/>
            </a:ext>
          </a:extLst>
        </xdr:cNvPr>
        <xdr:cNvSpPr/>
      </xdr:nvSpPr>
      <xdr:spPr>
        <a:xfrm>
          <a:off x="6715125" y="771525"/>
          <a:ext cx="2628901"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15</xdr:row>
      <xdr:rowOff>47625</xdr:rowOff>
    </xdr:from>
    <xdr:to>
      <xdr:col>21</xdr:col>
      <xdr:colOff>552450</xdr:colOff>
      <xdr:row>32</xdr:row>
      <xdr:rowOff>9525</xdr:rowOff>
    </xdr:to>
    <xdr:sp macro="" textlink="">
      <xdr:nvSpPr>
        <xdr:cNvPr id="7" name="Rectangle: Top Corners Rounded 6">
          <a:extLst>
            <a:ext uri="{FF2B5EF4-FFF2-40B4-BE49-F238E27FC236}">
              <a16:creationId xmlns:a16="http://schemas.microsoft.com/office/drawing/2014/main" id="{42B8C1AB-F1FB-4B4D-B46E-C72FD2039707}"/>
            </a:ext>
          </a:extLst>
        </xdr:cNvPr>
        <xdr:cNvSpPr/>
      </xdr:nvSpPr>
      <xdr:spPr>
        <a:xfrm>
          <a:off x="9391650" y="2762250"/>
          <a:ext cx="3962400" cy="3038475"/>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323850</xdr:colOff>
      <xdr:row>0</xdr:row>
      <xdr:rowOff>104775</xdr:rowOff>
    </xdr:from>
    <xdr:to>
      <xdr:col>15</xdr:col>
      <xdr:colOff>190500</xdr:colOff>
      <xdr:row>4</xdr:row>
      <xdr:rowOff>9525</xdr:rowOff>
    </xdr:to>
    <xdr:sp macro="" textlink="">
      <xdr:nvSpPr>
        <xdr:cNvPr id="9" name="Rectangle: Rounded Corners 8">
          <a:extLst>
            <a:ext uri="{FF2B5EF4-FFF2-40B4-BE49-F238E27FC236}">
              <a16:creationId xmlns:a16="http://schemas.microsoft.com/office/drawing/2014/main" id="{12577A1D-6731-063F-1A07-EB4A662D67C8}"/>
            </a:ext>
          </a:extLst>
        </xdr:cNvPr>
        <xdr:cNvSpPr/>
      </xdr:nvSpPr>
      <xdr:spPr>
        <a:xfrm>
          <a:off x="2152650" y="104775"/>
          <a:ext cx="7181850" cy="628650"/>
        </a:xfrm>
        <a:prstGeom prst="roundRect">
          <a:avLst/>
        </a:prstGeom>
        <a:solidFill>
          <a:srgbClr val="00011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b="1">
              <a:solidFill>
                <a:schemeClr val="bg1"/>
              </a:solidFill>
            </a:rPr>
            <a:t>2023-2024 Sales Report </a:t>
          </a:r>
        </a:p>
      </xdr:txBody>
    </xdr:sp>
    <xdr:clientData/>
  </xdr:twoCellAnchor>
  <xdr:twoCellAnchor>
    <xdr:from>
      <xdr:col>0</xdr:col>
      <xdr:colOff>209550</xdr:colOff>
      <xdr:row>26</xdr:row>
      <xdr:rowOff>95250</xdr:rowOff>
    </xdr:from>
    <xdr:to>
      <xdr:col>3</xdr:col>
      <xdr:colOff>47625</xdr:colOff>
      <xdr:row>31</xdr:row>
      <xdr:rowOff>76200</xdr:rowOff>
    </xdr:to>
    <xdr:sp macro="" textlink="Table!E22">
      <xdr:nvSpPr>
        <xdr:cNvPr id="14" name="Rectangle: Rounded Corners 13">
          <a:extLst>
            <a:ext uri="{FF2B5EF4-FFF2-40B4-BE49-F238E27FC236}">
              <a16:creationId xmlns:a16="http://schemas.microsoft.com/office/drawing/2014/main" id="{B0D78AA8-A9E7-4B06-B7AA-BFEADB1A65E5}"/>
            </a:ext>
          </a:extLst>
        </xdr:cNvPr>
        <xdr:cNvSpPr/>
      </xdr:nvSpPr>
      <xdr:spPr>
        <a:xfrm>
          <a:off x="209550" y="4800600"/>
          <a:ext cx="166687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B589E19-D744-4639-B911-688B1B58CA56}" type="TxLink">
            <a:rPr lang="en-US" sz="1600" b="1" i="0" u="none" strike="noStrike">
              <a:solidFill>
                <a:srgbClr val="000000"/>
              </a:solidFill>
              <a:latin typeface="Calibri"/>
              <a:ea typeface="Calibri"/>
              <a:cs typeface="Calibri"/>
            </a:rPr>
            <a:pPr marL="0" indent="0" algn="ctr"/>
            <a:t>Excellent</a:t>
          </a:fld>
          <a:endParaRPr lang="en-IN" sz="1600" b="1" i="0" u="none" strike="noStrike">
            <a:solidFill>
              <a:srgbClr val="000000"/>
            </a:solidFill>
            <a:latin typeface="Calibri"/>
            <a:ea typeface="Calibri"/>
            <a:cs typeface="Calibri"/>
          </a:endParaRPr>
        </a:p>
      </xdr:txBody>
    </xdr:sp>
    <xdr:clientData/>
  </xdr:twoCellAnchor>
  <xdr:twoCellAnchor>
    <xdr:from>
      <xdr:col>0</xdr:col>
      <xdr:colOff>219075</xdr:colOff>
      <xdr:row>21</xdr:row>
      <xdr:rowOff>47625</xdr:rowOff>
    </xdr:from>
    <xdr:to>
      <xdr:col>3</xdr:col>
      <xdr:colOff>57150</xdr:colOff>
      <xdr:row>26</xdr:row>
      <xdr:rowOff>28575</xdr:rowOff>
    </xdr:to>
    <xdr:sp macro="" textlink="Table!D22">
      <xdr:nvSpPr>
        <xdr:cNvPr id="15" name="Rectangle: Rounded Corners 14">
          <a:extLst>
            <a:ext uri="{FF2B5EF4-FFF2-40B4-BE49-F238E27FC236}">
              <a16:creationId xmlns:a16="http://schemas.microsoft.com/office/drawing/2014/main" id="{6CA618E8-E750-47B4-86CD-6FA5FF351F72}"/>
            </a:ext>
          </a:extLst>
        </xdr:cNvPr>
        <xdr:cNvSpPr/>
      </xdr:nvSpPr>
      <xdr:spPr>
        <a:xfrm>
          <a:off x="219075" y="3848100"/>
          <a:ext cx="166687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13748E5-09BD-43AB-A139-620D7D57E739}" type="TxLink">
            <a:rPr lang="en-US" sz="1600" b="1" i="0" u="none" strike="noStrike">
              <a:solidFill>
                <a:srgbClr val="000000"/>
              </a:solidFill>
              <a:latin typeface="Calibri"/>
              <a:ea typeface="Calibri"/>
              <a:cs typeface="Calibri"/>
            </a:rPr>
            <a:pPr marL="0" indent="0" algn="ctr"/>
            <a:t>101%</a:t>
          </a:fld>
          <a:endParaRPr lang="en-IN" sz="1600" b="1" i="0" u="none" strike="noStrike">
            <a:solidFill>
              <a:srgbClr val="000000"/>
            </a:solidFill>
            <a:latin typeface="Calibri"/>
            <a:ea typeface="Calibri"/>
            <a:cs typeface="Calibri"/>
          </a:endParaRPr>
        </a:p>
      </xdr:txBody>
    </xdr:sp>
    <xdr:clientData/>
  </xdr:twoCellAnchor>
  <xdr:twoCellAnchor>
    <xdr:from>
      <xdr:col>0</xdr:col>
      <xdr:colOff>219075</xdr:colOff>
      <xdr:row>15</xdr:row>
      <xdr:rowOff>171450</xdr:rowOff>
    </xdr:from>
    <xdr:to>
      <xdr:col>3</xdr:col>
      <xdr:colOff>57150</xdr:colOff>
      <xdr:row>20</xdr:row>
      <xdr:rowOff>152400</xdr:rowOff>
    </xdr:to>
    <xdr:sp macro="" textlink="Table!C22">
      <xdr:nvSpPr>
        <xdr:cNvPr id="16" name="Rectangle: Rounded Corners 15">
          <a:extLst>
            <a:ext uri="{FF2B5EF4-FFF2-40B4-BE49-F238E27FC236}">
              <a16:creationId xmlns:a16="http://schemas.microsoft.com/office/drawing/2014/main" id="{E5C74381-8782-4F65-BEF4-318A68E7D9B4}"/>
            </a:ext>
          </a:extLst>
        </xdr:cNvPr>
        <xdr:cNvSpPr/>
      </xdr:nvSpPr>
      <xdr:spPr>
        <a:xfrm>
          <a:off x="219075" y="2886075"/>
          <a:ext cx="166687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17307AF3-7AA2-4415-A24B-DEC6E4B9BA2D}" type="TxLink">
            <a:rPr lang="en-US" sz="1600" b="1" i="0" u="none" strike="noStrike">
              <a:solidFill>
                <a:srgbClr val="000000"/>
              </a:solidFill>
              <a:latin typeface="Calibri"/>
              <a:ea typeface="Calibri"/>
              <a:cs typeface="Calibri"/>
            </a:rPr>
            <a:pPr marL="0" indent="0" algn="ctr"/>
            <a:t>27%</a:t>
          </a:fld>
          <a:endParaRPr lang="en-IN" sz="1600" b="1" i="0" u="none" strike="noStrike">
            <a:solidFill>
              <a:srgbClr val="000000"/>
            </a:solidFill>
            <a:latin typeface="Calibri"/>
            <a:ea typeface="Calibri"/>
            <a:cs typeface="Calibri"/>
          </a:endParaRPr>
        </a:p>
      </xdr:txBody>
    </xdr:sp>
    <xdr:clientData/>
  </xdr:twoCellAnchor>
  <xdr:twoCellAnchor>
    <xdr:from>
      <xdr:col>0</xdr:col>
      <xdr:colOff>219075</xdr:colOff>
      <xdr:row>10</xdr:row>
      <xdr:rowOff>104775</xdr:rowOff>
    </xdr:from>
    <xdr:to>
      <xdr:col>3</xdr:col>
      <xdr:colOff>57150</xdr:colOff>
      <xdr:row>15</xdr:row>
      <xdr:rowOff>85725</xdr:rowOff>
    </xdr:to>
    <xdr:sp macro="" textlink="Table!B22">
      <xdr:nvSpPr>
        <xdr:cNvPr id="17" name="Rectangle: Rounded Corners 16">
          <a:extLst>
            <a:ext uri="{FF2B5EF4-FFF2-40B4-BE49-F238E27FC236}">
              <a16:creationId xmlns:a16="http://schemas.microsoft.com/office/drawing/2014/main" id="{07798929-1BC9-4DFB-B2DD-76349521D969}"/>
            </a:ext>
          </a:extLst>
        </xdr:cNvPr>
        <xdr:cNvSpPr/>
      </xdr:nvSpPr>
      <xdr:spPr>
        <a:xfrm>
          <a:off x="219075" y="1914525"/>
          <a:ext cx="166687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1C0A1E6-11C9-4593-A053-6B82651870D1}" type="TxLink">
            <a:rPr lang="en-US" sz="1600" b="1" i="0" u="none" strike="noStrike">
              <a:solidFill>
                <a:srgbClr val="000000"/>
              </a:solidFill>
              <a:latin typeface="Calibri"/>
              <a:ea typeface="Calibri"/>
              <a:cs typeface="Calibri"/>
            </a:rPr>
            <a:pPr marL="0" indent="0" algn="ctr"/>
            <a:t>16030995</a:t>
          </a:fld>
          <a:endParaRPr lang="en-IN" sz="1600" b="1" i="0" u="none" strike="noStrike">
            <a:solidFill>
              <a:srgbClr val="000000"/>
            </a:solidFill>
            <a:latin typeface="Calibri"/>
            <a:ea typeface="Calibri"/>
            <a:cs typeface="Calibri"/>
          </a:endParaRPr>
        </a:p>
      </xdr:txBody>
    </xdr:sp>
    <xdr:clientData/>
  </xdr:twoCellAnchor>
  <xdr:twoCellAnchor>
    <xdr:from>
      <xdr:col>0</xdr:col>
      <xdr:colOff>219075</xdr:colOff>
      <xdr:row>5</xdr:row>
      <xdr:rowOff>57150</xdr:rowOff>
    </xdr:from>
    <xdr:to>
      <xdr:col>3</xdr:col>
      <xdr:colOff>57150</xdr:colOff>
      <xdr:row>10</xdr:row>
      <xdr:rowOff>38100</xdr:rowOff>
    </xdr:to>
    <xdr:sp macro="" textlink="Table!A22">
      <xdr:nvSpPr>
        <xdr:cNvPr id="18" name="Rectangle: Rounded Corners 17">
          <a:extLst>
            <a:ext uri="{FF2B5EF4-FFF2-40B4-BE49-F238E27FC236}">
              <a16:creationId xmlns:a16="http://schemas.microsoft.com/office/drawing/2014/main" id="{00B15427-05E0-474B-B799-ACBF9982D804}"/>
            </a:ext>
          </a:extLst>
        </xdr:cNvPr>
        <xdr:cNvSpPr/>
      </xdr:nvSpPr>
      <xdr:spPr>
        <a:xfrm>
          <a:off x="219075" y="962025"/>
          <a:ext cx="166687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83EA49C-EA27-4311-B968-B69058C470E3}" type="TxLink">
            <a:rPr lang="en-US" sz="1600" b="1" i="0" u="none" strike="noStrike">
              <a:solidFill>
                <a:srgbClr val="000000"/>
              </a:solidFill>
              <a:latin typeface="Calibri"/>
              <a:ea typeface="Calibri"/>
              <a:cs typeface="Calibri"/>
            </a:rPr>
            <a:pPr algn="ctr"/>
            <a:t>22078702</a:t>
          </a:fld>
          <a:endParaRPr lang="en-IN" sz="1600" b="1"/>
        </a:p>
      </xdr:txBody>
    </xdr:sp>
    <xdr:clientData/>
  </xdr:twoCellAnchor>
  <xdr:twoCellAnchor>
    <xdr:from>
      <xdr:col>0</xdr:col>
      <xdr:colOff>228600</xdr:colOff>
      <xdr:row>1</xdr:row>
      <xdr:rowOff>85726</xdr:rowOff>
    </xdr:from>
    <xdr:to>
      <xdr:col>3</xdr:col>
      <xdr:colOff>66675</xdr:colOff>
      <xdr:row>4</xdr:row>
      <xdr:rowOff>133351</xdr:rowOff>
    </xdr:to>
    <xdr:sp macro="" textlink="">
      <xdr:nvSpPr>
        <xdr:cNvPr id="20" name="Rectangle: Rounded Corners 19">
          <a:extLst>
            <a:ext uri="{FF2B5EF4-FFF2-40B4-BE49-F238E27FC236}">
              <a16:creationId xmlns:a16="http://schemas.microsoft.com/office/drawing/2014/main" id="{E3371730-9DEE-446C-B9C9-20268B501F6C}"/>
            </a:ext>
          </a:extLst>
        </xdr:cNvPr>
        <xdr:cNvSpPr/>
      </xdr:nvSpPr>
      <xdr:spPr>
        <a:xfrm>
          <a:off x="228600" y="266701"/>
          <a:ext cx="1666875" cy="59055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a:solidFill>
                <a:sysClr val="windowText" lastClr="000000"/>
              </a:solidFill>
            </a:rPr>
            <a:t>KPI</a:t>
          </a:r>
        </a:p>
      </xdr:txBody>
    </xdr:sp>
    <xdr:clientData/>
  </xdr:twoCellAnchor>
  <xdr:twoCellAnchor>
    <xdr:from>
      <xdr:col>3</xdr:col>
      <xdr:colOff>342900</xdr:colOff>
      <xdr:row>4</xdr:row>
      <xdr:rowOff>57151</xdr:rowOff>
    </xdr:from>
    <xdr:to>
      <xdr:col>10</xdr:col>
      <xdr:colOff>561976</xdr:colOff>
      <xdr:row>18</xdr:row>
      <xdr:rowOff>114301</xdr:rowOff>
    </xdr:to>
    <xdr:sp macro="" textlink="">
      <xdr:nvSpPr>
        <xdr:cNvPr id="23" name="Rectangle: Top Corners Rounded 22">
          <a:extLst>
            <a:ext uri="{FF2B5EF4-FFF2-40B4-BE49-F238E27FC236}">
              <a16:creationId xmlns:a16="http://schemas.microsoft.com/office/drawing/2014/main" id="{D02ADAD0-A963-4142-9BCD-D2856FDB4AB7}"/>
            </a:ext>
          </a:extLst>
        </xdr:cNvPr>
        <xdr:cNvSpPr/>
      </xdr:nvSpPr>
      <xdr:spPr>
        <a:xfrm>
          <a:off x="2171700" y="781051"/>
          <a:ext cx="4486276"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409575</xdr:colOff>
      <xdr:row>4</xdr:row>
      <xdr:rowOff>152401</xdr:rowOff>
    </xdr:from>
    <xdr:to>
      <xdr:col>10</xdr:col>
      <xdr:colOff>466725</xdr:colOff>
      <xdr:row>18</xdr:row>
      <xdr:rowOff>19051</xdr:rowOff>
    </xdr:to>
    <xdr:graphicFrame macro="">
      <xdr:nvGraphicFramePr>
        <xdr:cNvPr id="22" name="Chart 21">
          <a:extLst>
            <a:ext uri="{FF2B5EF4-FFF2-40B4-BE49-F238E27FC236}">
              <a16:creationId xmlns:a16="http://schemas.microsoft.com/office/drawing/2014/main" id="{20FE6236-AF35-454D-8441-4977298B0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238125</xdr:colOff>
      <xdr:row>0</xdr:row>
      <xdr:rowOff>114299</xdr:rowOff>
    </xdr:from>
    <xdr:to>
      <xdr:col>21</xdr:col>
      <xdr:colOff>533400</xdr:colOff>
      <xdr:row>14</xdr:row>
      <xdr:rowOff>180974</xdr:rowOff>
    </xdr:to>
    <xdr:sp macro="" textlink="">
      <xdr:nvSpPr>
        <xdr:cNvPr id="24" name="Rectangle: Top Corners Rounded 23">
          <a:extLst>
            <a:ext uri="{FF2B5EF4-FFF2-40B4-BE49-F238E27FC236}">
              <a16:creationId xmlns:a16="http://schemas.microsoft.com/office/drawing/2014/main" id="{F7F5EDAD-FAB0-4E80-8264-9F3F640D8E3A}"/>
            </a:ext>
          </a:extLst>
        </xdr:cNvPr>
        <xdr:cNvSpPr/>
      </xdr:nvSpPr>
      <xdr:spPr>
        <a:xfrm>
          <a:off x="9382125" y="114299"/>
          <a:ext cx="3952875" cy="2600325"/>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352425</xdr:colOff>
      <xdr:row>1</xdr:row>
      <xdr:rowOff>76199</xdr:rowOff>
    </xdr:from>
    <xdr:to>
      <xdr:col>21</xdr:col>
      <xdr:colOff>447675</xdr:colOff>
      <xdr:row>14</xdr:row>
      <xdr:rowOff>47625</xdr:rowOff>
    </xdr:to>
    <xdr:graphicFrame macro="">
      <xdr:nvGraphicFramePr>
        <xdr:cNvPr id="25" name="Chart 24">
          <a:extLst>
            <a:ext uri="{FF2B5EF4-FFF2-40B4-BE49-F238E27FC236}">
              <a16:creationId xmlns:a16="http://schemas.microsoft.com/office/drawing/2014/main" id="{D4E585D6-5877-4245-B972-019087901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85725</xdr:colOff>
      <xdr:row>4</xdr:row>
      <xdr:rowOff>133350</xdr:rowOff>
    </xdr:from>
    <xdr:to>
      <xdr:col>15</xdr:col>
      <xdr:colOff>104774</xdr:colOff>
      <xdr:row>17</xdr:row>
      <xdr:rowOff>142874</xdr:rowOff>
    </xdr:to>
    <xdr:graphicFrame macro="">
      <xdr:nvGraphicFramePr>
        <xdr:cNvPr id="26" name="Chart 25">
          <a:extLst>
            <a:ext uri="{FF2B5EF4-FFF2-40B4-BE49-F238E27FC236}">
              <a16:creationId xmlns:a16="http://schemas.microsoft.com/office/drawing/2014/main" id="{417C8167-9C3D-4611-B0F9-5C19F46D7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295275</xdr:colOff>
      <xdr:row>15</xdr:row>
      <xdr:rowOff>104775</xdr:rowOff>
    </xdr:from>
    <xdr:to>
      <xdr:col>21</xdr:col>
      <xdr:colOff>466725</xdr:colOff>
      <xdr:row>32</xdr:row>
      <xdr:rowOff>95250</xdr:rowOff>
    </xdr:to>
    <xdr:graphicFrame macro="">
      <xdr:nvGraphicFramePr>
        <xdr:cNvPr id="27" name="Chart 26">
          <a:extLst>
            <a:ext uri="{FF2B5EF4-FFF2-40B4-BE49-F238E27FC236}">
              <a16:creationId xmlns:a16="http://schemas.microsoft.com/office/drawing/2014/main" id="{E87F6366-6879-4844-B715-7B962729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352425</xdr:colOff>
      <xdr:row>18</xdr:row>
      <xdr:rowOff>152401</xdr:rowOff>
    </xdr:from>
    <xdr:to>
      <xdr:col>10</xdr:col>
      <xdr:colOff>219075</xdr:colOff>
      <xdr:row>33</xdr:row>
      <xdr:rowOff>28576</xdr:rowOff>
    </xdr:to>
    <xdr:sp macro="" textlink="">
      <xdr:nvSpPr>
        <xdr:cNvPr id="28" name="Rectangle: Top Corners Rounded 27">
          <a:extLst>
            <a:ext uri="{FF2B5EF4-FFF2-40B4-BE49-F238E27FC236}">
              <a16:creationId xmlns:a16="http://schemas.microsoft.com/office/drawing/2014/main" id="{36A64CE4-2051-4A30-B857-A009546705A8}"/>
            </a:ext>
          </a:extLst>
        </xdr:cNvPr>
        <xdr:cNvSpPr/>
      </xdr:nvSpPr>
      <xdr:spPr>
        <a:xfrm>
          <a:off x="2181225" y="3409951"/>
          <a:ext cx="4133850" cy="2590800"/>
        </a:xfrm>
        <a:prstGeom prst="round2SameRect">
          <a:avLst>
            <a:gd name="adj1" fmla="val 0"/>
            <a:gd name="adj2" fmla="val 0"/>
          </a:avLst>
        </a:prstGeom>
        <a:solidFill>
          <a:schemeClr val="dk1">
            <a:alpha val="6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428624</xdr:colOff>
      <xdr:row>19</xdr:row>
      <xdr:rowOff>57151</xdr:rowOff>
    </xdr:from>
    <xdr:to>
      <xdr:col>10</xdr:col>
      <xdr:colOff>76199</xdr:colOff>
      <xdr:row>32</xdr:row>
      <xdr:rowOff>104776</xdr:rowOff>
    </xdr:to>
    <xdr:graphicFrame macro="">
      <xdr:nvGraphicFramePr>
        <xdr:cNvPr id="29" name="Chart 28">
          <a:extLst>
            <a:ext uri="{FF2B5EF4-FFF2-40B4-BE49-F238E27FC236}">
              <a16:creationId xmlns:a16="http://schemas.microsoft.com/office/drawing/2014/main" id="{28CA5319-812C-4B34-89F0-C1C555A04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295275</xdr:colOff>
      <xdr:row>18</xdr:row>
      <xdr:rowOff>171450</xdr:rowOff>
    </xdr:from>
    <xdr:to>
      <xdr:col>12</xdr:col>
      <xdr:colOff>495300</xdr:colOff>
      <xdr:row>25</xdr:row>
      <xdr:rowOff>161925</xdr:rowOff>
    </xdr:to>
    <mc:AlternateContent xmlns:mc="http://schemas.openxmlformats.org/markup-compatibility/2006" xmlns:a14="http://schemas.microsoft.com/office/drawing/2010/main">
      <mc:Choice Requires="a14">
        <xdr:graphicFrame macro="">
          <xdr:nvGraphicFramePr>
            <xdr:cNvPr id="30" name="Date (Year)">
              <a:extLst>
                <a:ext uri="{FF2B5EF4-FFF2-40B4-BE49-F238E27FC236}">
                  <a16:creationId xmlns:a16="http://schemas.microsoft.com/office/drawing/2014/main" id="{56EE8595-9F0D-4179-A014-403500D750D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6391275" y="3429000"/>
              <a:ext cx="141922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18</xdr:row>
      <xdr:rowOff>171450</xdr:rowOff>
    </xdr:from>
    <xdr:to>
      <xdr:col>15</xdr:col>
      <xdr:colOff>190500</xdr:colOff>
      <xdr:row>23</xdr:row>
      <xdr:rowOff>133350</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E6A779E4-CD4D-42BA-B168-CEFFD6ADC9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48600" y="3429000"/>
              <a:ext cx="14859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285750</xdr:colOff>
      <xdr:row>26</xdr:row>
      <xdr:rowOff>19050</xdr:rowOff>
    </xdr:from>
    <xdr:to>
      <xdr:col>12</xdr:col>
      <xdr:colOff>504825</xdr:colOff>
      <xdr:row>32</xdr:row>
      <xdr:rowOff>114300</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D472B8FE-43B9-49EF-B699-5B5509C071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81750" y="4724400"/>
              <a:ext cx="1438275"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552451</xdr:colOff>
      <xdr:row>24</xdr:row>
      <xdr:rowOff>9525</xdr:rowOff>
    </xdr:from>
    <xdr:to>
      <xdr:col>15</xdr:col>
      <xdr:colOff>228601</xdr:colOff>
      <xdr:row>32</xdr:row>
      <xdr:rowOff>114301</xdr:rowOff>
    </xdr:to>
    <mc:AlternateContent xmlns:mc="http://schemas.openxmlformats.org/markup-compatibility/2006" xmlns:a14="http://schemas.microsoft.com/office/drawing/2010/main">
      <mc:Choice Requires="a14">
        <xdr:graphicFrame macro="">
          <xdr:nvGraphicFramePr>
            <xdr:cNvPr id="34" name="City">
              <a:extLst>
                <a:ext uri="{FF2B5EF4-FFF2-40B4-BE49-F238E27FC236}">
                  <a16:creationId xmlns:a16="http://schemas.microsoft.com/office/drawing/2014/main" id="{06A410A5-4207-4D35-ABF2-4B905C98CCF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67651" y="4352925"/>
              <a:ext cx="1504950" cy="1552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371475</xdr:colOff>
      <xdr:row>7</xdr:row>
      <xdr:rowOff>171450</xdr:rowOff>
    </xdr:from>
    <xdr:to>
      <xdr:col>2</xdr:col>
      <xdr:colOff>523875</xdr:colOff>
      <xdr:row>9</xdr:row>
      <xdr:rowOff>133350</xdr:rowOff>
    </xdr:to>
    <xdr:sp macro="" textlink="">
      <xdr:nvSpPr>
        <xdr:cNvPr id="2" name="TextBox 1">
          <a:extLst>
            <a:ext uri="{FF2B5EF4-FFF2-40B4-BE49-F238E27FC236}">
              <a16:creationId xmlns:a16="http://schemas.microsoft.com/office/drawing/2014/main" id="{01C8B7C1-6AB3-A895-7E84-6CE20A640C07}"/>
            </a:ext>
          </a:extLst>
        </xdr:cNvPr>
        <xdr:cNvSpPr txBox="1"/>
      </xdr:nvSpPr>
      <xdr:spPr>
        <a:xfrm>
          <a:off x="371475" y="1438275"/>
          <a:ext cx="13716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 Sales</a:t>
          </a:r>
        </a:p>
      </xdr:txBody>
    </xdr:sp>
    <xdr:clientData/>
  </xdr:twoCellAnchor>
  <xdr:twoCellAnchor editAs="oneCell">
    <xdr:from>
      <xdr:col>0</xdr:col>
      <xdr:colOff>0</xdr:colOff>
      <xdr:row>7</xdr:row>
      <xdr:rowOff>142875</xdr:rowOff>
    </xdr:from>
    <xdr:to>
      <xdr:col>29</xdr:col>
      <xdr:colOff>607314</xdr:colOff>
      <xdr:row>64</xdr:row>
      <xdr:rowOff>113014</xdr:rowOff>
    </xdr:to>
    <xdr:pic>
      <xdr:nvPicPr>
        <xdr:cNvPr id="8" name="Picture 7">
          <a:extLst>
            <a:ext uri="{FF2B5EF4-FFF2-40B4-BE49-F238E27FC236}">
              <a16:creationId xmlns:a16="http://schemas.microsoft.com/office/drawing/2014/main" id="{E4F9CC93-012A-369E-27D5-9846237F736E}"/>
            </a:ext>
          </a:extLst>
        </xdr:cNvPr>
        <xdr:cNvPicPr>
          <a:picLocks noChangeAspect="1"/>
        </xdr:cNvPicPr>
      </xdr:nvPicPr>
      <xdr:blipFill>
        <a:blip xmlns:r="http://schemas.openxmlformats.org/officeDocument/2006/relationships" r:embed="rId7"/>
        <a:stretch>
          <a:fillRect/>
        </a:stretch>
      </xdr:blipFill>
      <xdr:spPr>
        <a:xfrm>
          <a:off x="0" y="1409700"/>
          <a:ext cx="18285714" cy="102857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0587731484" createdVersion="5" refreshedVersion="8" minRefreshableVersion="3" recordCount="0" supportSubquery="1" supportAdvancedDrill="1" xr:uid="{DC0B821A-CFE7-4B11-8F62-E1AC938ED244}">
  <cacheSource type="external" connectionId="2"/>
  <cacheFields count="2">
    <cacheField name="[Measures].[Sum of SalesAmount]" caption="Sum of SalesAmount" numFmtId="0" hierarchy="35" level="32767"/>
    <cacheField name="[Sales].[Product].[Product]" caption="Product" numFmtId="0" hierarchy="7" level="1">
      <sharedItems count="7">
        <s v="Chair"/>
        <s v="Desk"/>
        <s v="Laptop"/>
        <s v="Mobile"/>
        <s v="Sofa"/>
        <s v="Table"/>
        <s v="Tablet"/>
      </sharedItems>
      <extLst>
        <ext xmlns:x15="http://schemas.microsoft.com/office/spreadsheetml/2010/11/main" uri="{4F2E5C28-24EA-4eb8-9CBF-B6C8F9C3D259}">
          <x15:cachedUniqueNames>
            <x15:cachedUniqueName index="0" name="[Sales].[Product].&amp;[Chair]"/>
            <x15:cachedUniqueName index="1" name="[Sales].[Product].&amp;[Desk]"/>
            <x15:cachedUniqueName index="2" name="[Sales].[Product].&amp;[Laptop]"/>
            <x15:cachedUniqueName index="3" name="[Sales].[Product].&amp;[Mobile]"/>
            <x15:cachedUniqueName index="4" name="[Sales].[Product].&amp;[Sofa]"/>
            <x15:cachedUniqueName index="5" name="[Sales].[Product].&amp;[Table]"/>
            <x15:cachedUniqueName index="6" name="[Sales].[Product].&amp;[Tablet]"/>
          </x15:cachedUniqueNames>
        </ext>
      </extLst>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1"/>
      </fieldsUsage>
    </cacheHierarchy>
    <cacheHierarchy uniqueName="[Sales].[Category]" caption="Category" attribute="1" defaultMemberUniqueName="[Sales].[Category].[All]" allUniqueName="[Sales].[Category].[All]" dimensionUniqueName="[Sales]" displayFolder="" count="0"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3255324075" createdVersion="5" refreshedVersion="8" minRefreshableVersion="3" recordCount="0" supportSubquery="1" supportAdvancedDrill="1" xr:uid="{6671D350-85DB-4E6F-ABE0-CC824178B612}">
  <cacheSource type="external" connectionId="2"/>
  <cacheFields count="3">
    <cacheField name="[Sales].[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Category].&amp;[Electronics]"/>
            <x15:cachedUniqueName index="1" name="[Sales].[Category].&amp;[Furniture]"/>
          </x15:cachedUniqueNames>
        </ext>
      </extLst>
    </cacheField>
    <cacheField name="[Measures].[Sum of Profit]" caption="Sum of Profit" numFmtId="0" hierarchy="37" level="32767"/>
    <cacheField name="[Sales].[Product].[Product]" caption="Product" numFmtId="0" hierarchy="7" level="1">
      <sharedItems count="7">
        <s v="Laptop"/>
        <s v="Mobile"/>
        <s v="Tablet"/>
        <s v="Chair"/>
        <s v="Desk"/>
        <s v="Sofa"/>
        <s v="Table"/>
      </sharedItems>
      <extLst>
        <ext xmlns:x15="http://schemas.microsoft.com/office/spreadsheetml/2010/11/main" uri="{4F2E5C28-24EA-4eb8-9CBF-B6C8F9C3D259}">
          <x15:cachedUniqueNames>
            <x15:cachedUniqueName index="0" name="[Sales].[Product].&amp;[Laptop]"/>
            <x15:cachedUniqueName index="1" name="[Sales].[Product].&amp;[Mobile]"/>
            <x15:cachedUniqueName index="2" name="[Sales].[Product].&amp;[Tablet]"/>
            <x15:cachedUniqueName index="3" name="[Sales].[Product].&amp;[Chair]"/>
            <x15:cachedUniqueName index="4" name="[Sales].[Product].&amp;[Desk]"/>
            <x15:cachedUniqueName index="5" name="[Sales].[Product].&amp;[Sofa]"/>
            <x15:cachedUniqueName index="6" name="[Sales].[Product].&amp;[Table]"/>
          </x15:cachedUniqueNames>
        </ext>
      </extLst>
    </cacheField>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2"/>
      </fieldsUsage>
    </cacheHierarchy>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3854976851" createdVersion="5" refreshedVersion="8" minRefreshableVersion="3" recordCount="0" supportSubquery="1" supportAdvancedDrill="1" xr:uid="{29D9E18B-0216-4859-A9F8-F3A6E939747F}">
  <cacheSource type="external" connectionId="2"/>
  <cacheFields count="2">
    <cacheField name="[Sales].[Category].[Category]" caption="Category" numFmtId="0" hierarchy="8" level="1">
      <sharedItems count="2">
        <s v="Electronics"/>
        <s v="Furniture"/>
      </sharedItems>
      <extLst>
        <ext xmlns:x15="http://schemas.microsoft.com/office/spreadsheetml/2010/11/main" uri="{4F2E5C28-24EA-4eb8-9CBF-B6C8F9C3D259}">
          <x15:cachedUniqueNames>
            <x15:cachedUniqueName index="0" name="[Sales].[Category].&amp;[Electronics]"/>
            <x15:cachedUniqueName index="1" name="[Sales].[Category].&amp;[Furniture]"/>
          </x15:cachedUniqueNames>
        </ext>
      </extLst>
    </cacheField>
    <cacheField name="[Measures].[Sum of SalesAmount]" caption="Sum of SalesAmount" numFmtId="0" hierarchy="35"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6055902777" createdVersion="5" refreshedVersion="8" minRefreshableVersion="3" recordCount="0" supportSubquery="1" supportAdvancedDrill="1" xr:uid="{2FD9EBBA-2752-49C4-BBAF-A5CF75C84D55}">
  <cacheSource type="external" connectionId="2"/>
  <cacheFields count="1">
    <cacheField name="[Measures].[Total Sales]" caption="Total Sales" numFmtId="0" hierarchy="20"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6924305555" createdVersion="5" refreshedVersion="8" minRefreshableVersion="3" recordCount="0" supportSubquery="1" supportAdvancedDrill="1" xr:uid="{AAEDDFCF-0977-4286-8CEE-C86A66BC0713}">
  <cacheSource type="external" connectionId="2"/>
  <cacheFields count="1">
    <cacheField name="[Measures].[Total Cost]" caption="Total Cost" numFmtId="0" hierarchy="21"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oneField="1">
      <fieldsUsage count="1">
        <fieldUsage x="0"/>
      </fieldsUsage>
    </cacheHierarchy>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7134143518" createdVersion="5" refreshedVersion="8" minRefreshableVersion="3" recordCount="0" supportSubquery="1" supportAdvancedDrill="1" xr:uid="{58FAD4D2-7016-42C8-A517-38C8F6C34899}">
  <cacheSource type="external" connectionId="2"/>
  <cacheFields count="1">
    <cacheField name="[Measures].[Profit %]" caption="Profit %" numFmtId="0" hierarchy="24"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oneField="1">
      <fieldsUsage count="1">
        <fieldUsage x="0"/>
      </fieldsUsage>
    </cacheHierarchy>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7378125003" createdVersion="5" refreshedVersion="8" minRefreshableVersion="3" recordCount="0" supportSubquery="1" supportAdvancedDrill="1" xr:uid="{23873235-AA41-4E0E-B72F-E0FB6593C15D}">
  <cacheSource type="external" connectionId="2"/>
  <cacheFields count="1">
    <cacheField name="[Measures].[Growth %]" caption="Growth %" numFmtId="0" hierarchy="32"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oneField="1">
      <fieldsUsage count="1">
        <fieldUsage x="0"/>
      </fieldsUsage>
    </cacheHierarchy>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687589814814" createdVersion="5" refreshedVersion="8" minRefreshableVersion="3" recordCount="0" supportSubquery="1" supportAdvancedDrill="1" xr:uid="{B9F1540E-8B19-4A95-A5B8-DD0CEA1D6764}">
  <cacheSource type="external" connectionId="2"/>
  <cacheFields count="1">
    <cacheField name="[Measures].[Overall KPI]" caption="Overall KPI" numFmtId="0" hierarchy="25" level="32767"/>
  </cacheFields>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oneField="1">
      <fieldsUsage count="1">
        <fieldUsage x="0"/>
      </fieldsUsage>
    </cacheHierarchy>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718411921298" createdVersion="5" refreshedVersion="8" minRefreshableVersion="3" recordCount="0" supportSubquery="1" supportAdvancedDrill="1" xr:uid="{00D539FF-89FE-455B-87D8-E557BCD7C39D}">
  <cacheSource type="external" connectionId="2"/>
  <cacheFields count="5">
    <cacheField name="[Sales].[Date (Month)].[Date (Month)]" caption="Date (Month)" numFmtId="0" hierarchy="18"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Date (Month)].&amp;[Jan]"/>
            <x15:cachedUniqueName index="1" name="[Sales].[Date (Month)].&amp;[Feb]"/>
            <x15:cachedUniqueName index="2" name="[Sales].[Date (Month)].&amp;[Mar]"/>
            <x15:cachedUniqueName index="3" name="[Sales].[Date (Month)].&amp;[Apr]"/>
            <x15:cachedUniqueName index="4" name="[Sales].[Date (Month)].&amp;[May]"/>
            <x15:cachedUniqueName index="5" name="[Sales].[Date (Month)].&amp;[Jun]"/>
            <x15:cachedUniqueName index="6" name="[Sales].[Date (Month)].&amp;[Jul]"/>
            <x15:cachedUniqueName index="7" name="[Sales].[Date (Month)].&amp;[Aug]"/>
            <x15:cachedUniqueName index="8" name="[Sales].[Date (Month)].&amp;[Sep]"/>
            <x15:cachedUniqueName index="9" name="[Sales].[Date (Month)].&amp;[Oct]"/>
            <x15:cachedUniqueName index="10" name="[Sales].[Date (Month)].&amp;[Nov]"/>
            <x15:cachedUniqueName index="11" name="[Sales].[Date (Month)].&amp;[Dec]"/>
          </x15:cachedUniqueNames>
        </ext>
      </extLst>
    </cacheField>
    <cacheField name="[Sales].[Date (Quarter)].[Date (Quarter)]" caption="Date (Quarter)" numFmtId="0" hierarchy="17" level="1">
      <sharedItems count="4">
        <s v="Qtr1"/>
        <s v="Qtr2"/>
        <s v="Qtr3"/>
        <s v="Qtr4"/>
      </sharedItems>
      <extLst>
        <ext xmlns:x15="http://schemas.microsoft.com/office/spreadsheetml/2010/11/main" uri="{4F2E5C28-24EA-4eb8-9CBF-B6C8F9C3D259}">
          <x15:cachedUniqueNames>
            <x15:cachedUniqueName index="0" name="[Sales].[Date (Quarter)].&amp;[Qtr1]"/>
            <x15:cachedUniqueName index="1" name="[Sales].[Date (Quarter)].&amp;[Qtr2]"/>
            <x15:cachedUniqueName index="2" name="[Sales].[Date (Quarter)].&amp;[Qtr3]"/>
            <x15:cachedUniqueName index="3" name="[Sales].[Date (Quarter)].&amp;[Qtr4]"/>
          </x15:cachedUniqueNames>
        </ext>
      </extLst>
    </cacheField>
    <cacheField name="[Sales].[Date (Year)].[Date (Year)]" caption="Date (Year)" numFmtId="0" hierarchy="16" level="1">
      <sharedItems count="2">
        <s v="2023"/>
        <s v="2024"/>
      </sharedItems>
      <extLst>
        <ext xmlns:x15="http://schemas.microsoft.com/office/spreadsheetml/2010/11/main" uri="{4F2E5C28-24EA-4eb8-9CBF-B6C8F9C3D259}">
          <x15:cachedUniqueNames>
            <x15:cachedUniqueName index="0" name="[Sales].[Date (Year)].&amp;[2023]"/>
            <x15:cachedUniqueName index="1" name="[Sales].[Date (Year)].&amp;[2024]"/>
          </x15:cachedUniqueNames>
        </ext>
      </extLst>
    </cacheField>
    <cacheField name="[Measures].[Sum of SalesAmount]" caption="Sum of SalesAmount" numFmtId="0" hierarchy="35" level="32767"/>
    <cacheField name="[Sales].[Category].[Category]" caption="Category" numFmtId="0" hierarchy="8"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SalesAmount]" caption="SalesAmount" attribute="1" defaultMemberUniqueName="[Sales].[SalesAmount].[All]" allUniqueName="[Sales].[SalesAmount].[All]" dimensionUniqueName="[Sales]" displayFolder="" count="2" memberValueDatatype="20" unbalanced="0"/>
    <cacheHierarchy uniqueName="[Sales].[Cost]" caption="Cost" attribute="1" defaultMemberUniqueName="[Sales].[Cost].[All]" allUniqueName="[Sales].[Cost].[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rofit Margin]" caption="Profit Margin" attribute="1" defaultMemberUniqueName="[Sales].[Profit Margin].[All]" allUniqueName="[Sales].[Profit Margin].[All]" dimensionUniqueName="[Sales]" displayFolder="" count="2" memberValueDatatype="5" unbalanced="0"/>
    <cacheHierarchy uniqueName="[Sales].[KPI]" caption="KPI" attribute="1" defaultMemberUniqueName="[Sales].[KPI].[All]" allUniqueName="[Sales].[KPI].[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fieldsUsage count="2">
        <fieldUsage x="-1"/>
        <fieldUsage x="1"/>
      </fieldsUsage>
    </cacheHierarchy>
    <cacheHierarchy uniqueName="[Sales].[Date (Month)]" caption="Date (Month)" attribute="1" defaultMemberUniqueName="[Sales].[Date (Month)].[All]" allUniqueName="[Sales].[Date (Month)].[All]" dimensionUniqueName="[Sales]" displayFolder="" count="2" memberValueDatatype="130" unbalanced="0">
      <fieldsUsage count="2">
        <fieldUsage x="-1"/>
        <fieldUsage x="0"/>
      </fieldsUsage>
    </cacheHierarchy>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720440393517" createdVersion="5" refreshedVersion="8" minRefreshableVersion="3" recordCount="0" supportSubquery="1" supportAdvancedDrill="1" xr:uid="{6E6C71DA-4BDC-4266-B037-6759927227AA}">
  <cacheSource type="external" connectionId="2"/>
  <cacheFields count="3">
    <cacheField name="[Measures].[Sum of SalesAmount]" caption="Sum of SalesAmount" numFmtId="0" hierarchy="35" level="32767"/>
    <cacheField name="[Sales].[State].[State]" caption="State" numFmtId="0" hierarchy="5" level="1">
      <sharedItems count="7">
        <s v="Delhi"/>
        <s v="Gujarat"/>
        <s v="Karnataka"/>
        <s v="Kerala"/>
        <s v="Maharashtra"/>
        <s v="Punjab"/>
        <s v="Tamil Nadu"/>
      </sharedItems>
      <extLst>
        <ext xmlns:x15="http://schemas.microsoft.com/office/spreadsheetml/2010/11/main" uri="{4F2E5C28-24EA-4eb8-9CBF-B6C8F9C3D259}">
          <x15:cachedUniqueNames>
            <x15:cachedUniqueName index="0" name="[Sales].[State].&amp;[Delhi]"/>
            <x15:cachedUniqueName index="1" name="[Sales].[State].&amp;[Gujarat]"/>
            <x15:cachedUniqueName index="2" name="[Sales].[State].&amp;[Karnataka]"/>
            <x15:cachedUniqueName index="3" name="[Sales].[State].&amp;[Kerala]"/>
            <x15:cachedUniqueName index="4" name="[Sales].[State].&amp;[Maharashtra]"/>
            <x15:cachedUniqueName index="5" name="[Sales].[State].&amp;[Punjab]"/>
            <x15:cachedUniqueName index="6" name="[Sales].[State].&amp;[Tamil Nadu]"/>
          </x15:cachedUniqueNames>
        </ext>
      </extLst>
    </cacheField>
    <cacheField name="[Sales].[City].[City]" caption="City" numFmtId="0" hierarchy="6" level="1">
      <sharedItems containsSemiMixedTypes="0" containsNonDate="0" containsString="0"/>
    </cacheField>
  </cacheFields>
  <cacheHierarchies count="38">
    <cacheHierarchy uniqueName="[Sales].[OrderID]" caption="OrderID" attribute="1" defaultMemberUniqueName="[Sales].[OrderID].[All]" allUniqueName="[Sales].[OrderID].[All]" dimensionUniqueName="[Sales]" displayFolder="" count="2" memberValueDatatype="20" unbalanced="0"/>
    <cacheHierarchy uniqueName="[Sales].[Date]" caption="Date" attribute="1" time="1" defaultMemberUniqueName="[Sales].[Date].[All]" allUniqueName="[Sales].[Date].[All]" dimensionUniqueName="[Sales]" displayFolder="" count="2" memberValueDatatype="7" unbalanced="0"/>
    <cacheHierarchy uniqueName="[Sales].[Year]" caption="Year" attribute="1" defaultMemberUniqueName="[Sales].[Year].[All]" allUniqueName="[Sales].[Year].[All]" dimensionUniqueName="[Sales]" displayFolder="" count="2" memberValueDatatype="20" unbalanced="0"/>
    <cacheHierarchy uniqueName="[Sales].[Month]" caption="Month" attribute="1" defaultMemberUniqueName="[Sales].[Month].[All]" allUniqueName="[Sales].[Month].[All]" dimensionUniqueName="[Sales]" displayFolder="" count="2"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2" memberValueDatatype="130" unbalanced="0">
      <fieldsUsage count="2">
        <fieldUsage x="-1"/>
        <fieldUsage x="1"/>
      </fieldsUsage>
    </cacheHierarchy>
    <cacheHierarchy uniqueName="[Sales].[City]" caption="City" attribute="1" defaultMemberUniqueName="[Sales].[City].[All]" allUniqueName="[Sales].[City].[All]" dimensionUniqueName="[Sales]" displayFolder="" count="2" memberValueDatatype="130" unbalanced="0">
      <fieldsUsage count="2">
        <fieldUsage x="-1"/>
        <fieldUsage x="2"/>
      </fieldsUsage>
    </cacheHierarchy>
    <cacheHierarchy uniqueName="[Sales].[Product]" caption="Product" attribute="1" defaultMemberUniqueName="[Sales].[Product].[All]" allUniqueName="[Sales].[Product].[All]" dimensionUniqueName="[Sales]" displayFolder="" count="2"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2" memberValueDatatype="20" unbalanced="0"/>
    <cacheHierarchy uniqueName="[Sales].[Cost]" caption="Cost" attribute="1" defaultMemberUniqueName="[Sales].[Cost].[All]" allUniqueName="[Sales].[Cost].[All]" dimensionUniqueName="[Sales]" displayFolder="" count="2" memberValueDatatype="20" unbalanced="0"/>
    <cacheHierarchy uniqueName="[Sales].[Quantity]" caption="Quantity" attribute="1" defaultMemberUniqueName="[Sales].[Quantity].[All]" allUniqueName="[Sales].[Quantity].[All]" dimensionUniqueName="[Sales]" displayFolder="" count="2" memberValueDatatype="20" unbalanced="0"/>
    <cacheHierarchy uniqueName="[Sales].[Profit]" caption="Profit" attribute="1" defaultMemberUniqueName="[Sales].[Profit].[All]" allUniqueName="[Sales].[Profit].[All]" dimensionUniqueName="[Sales]" displayFolder="" count="2" memberValueDatatype="20" unbalanced="0"/>
    <cacheHierarchy uniqueName="[Sales].[Profit Margin]" caption="Profit Margin" attribute="1" defaultMemberUniqueName="[Sales].[Profit Margin].[All]" allUniqueName="[Sales].[Profit Margin].[All]" dimensionUniqueName="[Sales]" displayFolder="" count="2" memberValueDatatype="5" unbalanced="0"/>
    <cacheHierarchy uniqueName="[Sales].[KPI]" caption="KPI" attribute="1" defaultMemberUniqueName="[Sales].[KPI].[All]" allUniqueName="[Sales].[KPI].[All]" dimensionUniqueName="[Sales]" displayFolder="" count="2" memberValueDatatype="130" unbalanced="0"/>
    <cacheHierarchy uniqueName="[Sales].[Year-Month]" caption="Year-Month" attribute="1" defaultMemberUniqueName="[Sales].[Year-Month].[All]" allUniqueName="[Sales].[Year-Month].[All]" dimensionUniqueName="[Sales]" displayFolder="" count="2"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1.717428009259" createdVersion="3" refreshedVersion="8" minRefreshableVersion="3" recordCount="0" supportSubquery="1" supportAdvancedDrill="1" xr:uid="{1C229A10-B6BB-4C37-9CF3-DC8A98D838D9}">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0" memberValueDatatype="20" unbalanced="0"/>
    <cacheHierarchy uniqueName="[Sales].[Month]" caption="Month" attribute="1" defaultMemberUniqueName="[Sales].[Month].[All]" allUniqueName="[Sales].[Month].[All]" dimensionUniqueName="[Sales]" displayFolder="" count="0" memberValueDatatype="130" unbalanced="0"/>
    <cacheHierarchy uniqueName="[Sales].[Region]" caption="Region" attribute="1" defaultMemberUniqueName="[Sales].[Region].[All]" allUniqueName="[Sales].[Region].[All]" dimensionUniqueName="[Sales]" displayFolder="" count="2" memberValueDatatype="130" unbalanced="0"/>
    <cacheHierarchy uniqueName="[Sales].[State]" caption="State" attribute="1" defaultMemberUniqueName="[Sales].[State].[All]" allUniqueName="[Sales].[State].[All]" dimensionUniqueName="[Sales]" displayFolder="" count="0" memberValueDatatype="130" unbalanced="0"/>
    <cacheHierarchy uniqueName="[Sales].[City]" caption="City" attribute="1" defaultMemberUniqueName="[Sales].[City].[All]" allUniqueName="[Sales].[City].[All]" dimensionUniqueName="[Sales]" displayFolder="" count="2" memberValueDatatype="130" unbalanced="0"/>
    <cacheHierarchy uniqueName="[Sales].[Product]" caption="Product" attribute="1" defaultMemberUniqueName="[Sales].[Product].[All]" allUniqueName="[Sales].[Product].[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cacheHierarchy uniqueName="[Sales].[SalesAmount]" caption="SalesAmount" attribute="1" defaultMemberUniqueName="[Sales].[SalesAmount].[All]" allUniqueName="[Sales].[SalesAmount].[All]" dimensionUniqueName="[Sales]" displayFolder="" count="0" memberValueDatatype="20" unbalanced="0"/>
    <cacheHierarchy uniqueName="[Sales].[Cost]" caption="Cost" attribute="1" defaultMemberUniqueName="[Sales].[Cost].[All]" allUniqueName="[Sales].[Cost].[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Profit]" caption="Profit" attribute="1" defaultMemberUniqueName="[Sales].[Profit].[All]" allUniqueName="[Sales].[Profit].[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ales].[KPI]" caption="KPI" attribute="1" defaultMemberUniqueName="[Sales].[KPI].[All]" allUniqueName="[Sales].[KPI].[All]" dimensionUniqueName="[Sales]" displayFolder="" count="0" memberValueDatatype="130" unbalanced="0"/>
    <cacheHierarchy uniqueName="[Sales].[Year-Month]" caption="Year-Month" attribute="1" defaultMemberUniqueName="[Sales].[Year-Month].[All]" allUniqueName="[Sales].[Year-Month].[All]" dimensionUniqueName="[Sales]" displayFolder="" count="0" memberValueDatatype="130" unbalanced="0"/>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Total Sales]" caption="Total Sales"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Quantity]" caption="Total Quantity" measure="1" displayFolder="" measureGroup="Sales" count="0"/>
    <cacheHierarchy uniqueName="[Measures].[Profit %]" caption="Profit %" measure="1" displayFolder="" measureGroup="Sales" count="0"/>
    <cacheHierarchy uniqueName="[Measures].[Overall KPI]" caption="Overall KPI" measure="1" displayFolder="" measureGroup="Sales" count="0"/>
    <cacheHierarchy uniqueName="[Measures].[Gujarat Sales]" caption="Gujarat Sales" measure="1" displayFolder="" measureGroup="Sales" count="0"/>
    <cacheHierarchy uniqueName="[Measures].[High Value Sales]" caption="High Value Sales" measure="1" displayFolder="" measureGroup="Sales" count="0"/>
    <cacheHierarchy uniqueName="[Measures].[Total Sales Overall]" caption="Total Sales Overall" measure="1" displayFolder="" measureGroup="Sales" count="0"/>
    <cacheHierarchy uniqueName="[Measures].[Sales Contribution %]" caption="Sales Contribution %" measure="1" displayFolder="" measureGroup="Sales" count="0"/>
    <cacheHierarchy uniqueName="[Measures].[Last Year Sales]" caption="Last Year Sales" measure="1" displayFolder="" measureGroup="Sales" count="0"/>
    <cacheHierarchy uniqueName="[Measures].[YTD Sales]" caption="YTD Sales" measure="1" displayFolder="" measureGroup="Sales" count="0"/>
    <cacheHierarchy uniqueName="[Measures].[Growth %]" caption="Growth %" measure="1" displayFolder="" measureGroup="Sales" count="0"/>
    <cacheHierarchy uniqueName="[Measures].[__XL_Count SalesData]" caption="__XL_Count SalesData"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80285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F8058B-2875-4111-AE21-416D17E1C0FD}" name="PivotTable8" cacheId="5" applyNumberFormats="0" applyBorderFormats="0" applyFontFormats="0" applyPatternFormats="0" applyAlignmentFormats="0" applyWidthHeightFormats="1" dataCaption="Values" tag="ee6efdf5-edf0-4efa-bd78-9f1c35f5bce5" updatedVersion="8" minRefreshableVersion="3" itemPrintTitles="1" createdVersion="5" indent="0" outline="1" outlineData="1" multipleFieldFilters="0">
  <location ref="C20:C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031B65-0F9A-48B0-8090-502FCF07AB0C}" name="PivotTable5" cacheId="2" applyNumberFormats="0" applyBorderFormats="0" applyFontFormats="0" applyPatternFormats="0" applyAlignmentFormats="0" applyWidthHeightFormats="1" dataCaption="Values" tag="49a9bf98-041a-440c-a483-4891be73ab6f" updatedVersion="8" minRefreshableVersion="3" useAutoFormatting="1" itemPrintTitles="1" createdVersion="5" indent="0" outline="1" outlineData="1" multipleFieldFilters="0" chartFormat="7">
  <location ref="I13:J1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SalesAmount"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A690DF-4BC3-42E5-B1EF-AEDA51339BD0}" name="PivotTable3" cacheId="9" applyNumberFormats="0" applyBorderFormats="0" applyFontFormats="0" applyPatternFormats="0" applyAlignmentFormats="0" applyWidthHeightFormats="1" dataCaption="Values" tag="a6fb251e-c36d-4d43-9763-9ff982d763a9" updatedVersion="8" minRefreshableVersion="3" useAutoFormatting="1" itemPrintTitles="1" createdVersion="5" indent="0" outline="1" outlineData="1" multipleFieldFilters="0" chartFormat="7">
  <location ref="I2:J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A604E-475A-45CE-91CC-067ABD2B16BB}" name="PivotTable2" cacheId="0" applyNumberFormats="0" applyBorderFormats="0" applyFontFormats="0" applyPatternFormats="0" applyAlignmentFormats="0" applyWidthHeightFormats="1" dataCaption="Values" tag="35386d50-5ee4-4178-95e3-719c3d2baabd" updatedVersion="8" minRefreshableVersion="3" useAutoFormatting="1" itemPrintTitles="1" createdVersion="5" indent="0" outline="1" outlineData="1" multipleFieldFilters="0" chartFormat="7">
  <location ref="F2:G10"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SalesAmount"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25011E-3058-4D2C-B5FE-AAEDD35931D5}" name="PivotTable10" cacheId="7" applyNumberFormats="0" applyBorderFormats="0" applyFontFormats="0" applyPatternFormats="0" applyAlignmentFormats="0" applyWidthHeightFormats="1" dataCaption="Values" tag="7ca6cd4d-bca8-4839-b60e-b010eb111f1b" updatedVersion="8" minRefreshableVersion="3" itemPrintTitles="1" createdVersion="5" indent="0" outline="1" outlineData="1" multipleFieldFilters="0">
  <location ref="E20:E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570E7E-49D5-4565-AD59-758DC01B7DBB}" name="PivotTable7" cacheId="3" applyNumberFormats="0" applyBorderFormats="0" applyFontFormats="0" applyPatternFormats="0" applyAlignmentFormats="0" applyWidthHeightFormats="1" dataCaption="Values" tag="a60573d1-f0ca-4418-a542-c84b9c7dd88a" updatedVersion="8" minRefreshableVersion="3" itemPrintTitles="1" createdVersion="5" indent="0" outline="1" outlineData="1" multipleFieldFilters="0">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C2022B-2EB2-4441-903A-A96C66C9A82C}" name="PivotTable9" cacheId="6" applyNumberFormats="0" applyBorderFormats="0" applyFontFormats="0" applyPatternFormats="0" applyAlignmentFormats="0" applyWidthHeightFormats="1" dataCaption="Values" tag="b98c10ab-4a60-4d49-8a89-ca4a65d55d22" updatedVersion="8" minRefreshableVersion="3" itemPrintTitles="1" createdVersion="5" indent="0" outline="1" outlineData="1" multipleFieldFilters="0">
  <location ref="D20:D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4E9F4-72D2-4583-93B0-9C7D50BF5CF1}" name="PivotTable1" cacheId="8" applyNumberFormats="0" applyBorderFormats="0" applyFontFormats="0" applyPatternFormats="0" applyAlignmentFormats="0" applyWidthHeightFormats="1" dataCaption="Values" tag="708d5d5a-1c45-4357-934c-35ef46de0c46" updatedVersion="8" minRefreshableVersion="3" useAutoFormatting="1" itemPrintTitles="1" createdVersion="5" indent="0" outline="1" outlineData="1" multipleFieldFilters="0" chartFormat="8">
  <location ref="A2:D17" firstHeaderRow="1" firstDataRow="3"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2">
    <field x="2"/>
    <field x="1"/>
  </colFields>
  <colItems count="3">
    <i>
      <x/>
    </i>
    <i>
      <x v="1"/>
    </i>
    <i t="grand">
      <x/>
    </i>
  </colItems>
  <dataFields count="1">
    <dataField name="Sum of SalesAmount" fld="3" baseField="0" baseItem="0"/>
  </dataFields>
  <chartFormats count="2">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2">
    <colHierarchyUsage hierarchyUsage="16"/>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0FC718-56CA-472E-8395-1A3EFD753C58}" name="PivotTable4" cacheId="1" applyNumberFormats="0" applyBorderFormats="0" applyFontFormats="0" applyPatternFormats="0" applyAlignmentFormats="0" applyWidthHeightFormats="1" dataCaption="Values" tag="0fcc08fc-36b8-4e0d-910d-8aa0c5f212b7" updatedVersion="8" minRefreshableVersion="3" useAutoFormatting="1" itemPrintTitles="1" createdVersion="5" indent="0" outline="1" outlineData="1" multipleFieldFilters="0" chartFormat="8">
  <location ref="L2:M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0"/>
    <field x="2"/>
  </rowFields>
  <rowItems count="10">
    <i>
      <x/>
    </i>
    <i r="1">
      <x/>
    </i>
    <i r="1">
      <x v="1"/>
    </i>
    <i r="1">
      <x v="2"/>
    </i>
    <i>
      <x v="1"/>
    </i>
    <i r="1">
      <x v="3"/>
    </i>
    <i r="1">
      <x v="4"/>
    </i>
    <i r="1">
      <x v="5"/>
    </i>
    <i r="1">
      <x v="6"/>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E8FCC6-84B0-41B7-9D5E-4B66D6612596}" name="PivotTable6" cacheId="4" applyNumberFormats="0" applyBorderFormats="0" applyFontFormats="0" applyPatternFormats="0" applyAlignmentFormats="0" applyWidthHeightFormats="1" dataCaption="Values" tag="8c11519b-e4da-4bf8-aea3-13c632c38b80" updatedVersion="8" minRefreshableVersion="3" itemPrintTitles="1" createdVersion="5" indent="0" outline="1" outlineData="1" multipleFieldFilters="0">
  <location ref="B20:B2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C56758-B0F6-4105-A8F5-F51492CB5F61}" autoFormatId="16" applyNumberFormats="0" applyBorderFormats="0" applyFontFormats="0" applyPatternFormats="0" applyAlignmentFormats="0" applyWidthHeightFormats="0">
  <queryTableRefresh nextId="13">
    <queryTableFields count="12">
      <queryTableField id="1" name="OrderID" tableColumnId="1"/>
      <queryTableField id="2" name="Date" tableColumnId="2"/>
      <queryTableField id="3" name="Year" tableColumnId="3"/>
      <queryTableField id="4" name="Month" tableColumnId="4"/>
      <queryTableField id="5" name="Region" tableColumnId="5"/>
      <queryTableField id="6" name="State" tableColumnId="6"/>
      <queryTableField id="7" name="City" tableColumnId="7"/>
      <queryTableField id="8" name="Product" tableColumnId="8"/>
      <queryTableField id="9" name="Category" tableColumnId="9"/>
      <queryTableField id="10" name="SalesAmount" tableColumnId="10"/>
      <queryTableField id="11" name="Cost" tableColumnId="11"/>
      <queryTableField id="12" name="Quantit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AA6E361-4A7F-43D2-9505-CAF417545189}" sourceName="[Sales].[Date (Year)]">
  <pivotTables>
    <pivotTable tabId="3" name="PivotTable1"/>
  </pivotTables>
  <data>
    <olap pivotCacheId="198028534">
      <levels count="2">
        <level uniqueName="[Sales].[Date (Year)].[(All)]" sourceCaption="(All)" count="0"/>
        <level uniqueName="[Sales].[Date (Year)].[Date (Year)]" sourceCaption="Date (Year)" count="2">
          <ranges>
            <range startItem="0">
              <i n="[Sales].[Date (Year)].&amp;[2023]" c="2023"/>
              <i n="[Sales].[Date (Year)].&amp;[2024]" c="2024"/>
            </range>
          </ranges>
        </level>
      </levels>
      <selections count="1">
        <selection n="[Sales].[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51777E-C4AC-431A-BBC6-648D4450F5CB}" sourceName="[Sales].[Category]">
  <pivotTables>
    <pivotTable tabId="3" name="PivotTable1"/>
  </pivotTables>
  <data>
    <olap pivotCacheId="198028534">
      <levels count="2">
        <level uniqueName="[Sales].[Category].[(All)]" sourceCaption="(All)" count="0"/>
        <level uniqueName="[Sales].[Category].[Category]" sourceCaption="Category" count="2">
          <ranges>
            <range startItem="0">
              <i n="[Sales].[Category].&amp;[Electronics]" c="Electronics"/>
              <i n="[Sales].[Category].&amp;[Furniture]" c="Furniture"/>
            </range>
          </ranges>
        </level>
      </levels>
      <selections count="1">
        <selection n="[Sale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5EAB06-4333-45E3-BC1B-0164F33D4B8E}" sourceName="[Sales].[Region]">
  <pivotTables>
    <pivotTable tabId="3" name="PivotTable3"/>
  </pivotTables>
  <data>
    <olap pivotCacheId="198028534">
      <levels count="2">
        <level uniqueName="[Sales].[Region].[(All)]" sourceCaption="(All)" count="0"/>
        <level uniqueName="[Sales].[Region].[Region]" sourceCaption="Region" count="3">
          <ranges>
            <range startItem="0">
              <i n="[Sales].[Region].&amp;[North]" c="North"/>
              <i n="[Sales].[Region].&amp;[South]" c="South"/>
              <i n="[Sales].[Region].&amp;[West]" c="West"/>
            </range>
          </ranges>
        </level>
      </levels>
      <selections count="1">
        <selection n="[Sale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E0DC488-EBD2-4521-B1F5-89316EE5B39F}" sourceName="[Sales].[City]">
  <pivotTables>
    <pivotTable tabId="3" name="PivotTable3"/>
  </pivotTables>
  <data>
    <olap pivotCacheId="198028534">
      <levels count="2">
        <level uniqueName="[Sales].[City].[(All)]" sourceCaption="(All)" count="0"/>
        <level uniqueName="[Sales].[City].[City]" sourceCaption="City" count="8">
          <ranges>
            <range startItem="0">
              <i n="[Sales].[City].&amp;[Ahmedabad]" c="Ahmedabad"/>
              <i n="[Sales].[City].&amp;[Amritsar]" c="Amritsar"/>
              <i n="[Sales].[City].&amp;[Bangalore]" c="Bangalore"/>
              <i n="[Sales].[City].&amp;[Chennai]" c="Chennai"/>
              <i n="[Sales].[City].&amp;[Delhi]" c="Delhi"/>
              <i n="[Sales].[City].&amp;[Kochi]" c="Kochi"/>
              <i n="[Sales].[City].&amp;[Mumbai]" c="Mumbai"/>
              <i n="[Sales].[City].&amp;[Surat]" c="Surat"/>
            </range>
          </ranges>
        </level>
      </levels>
      <selections count="1">
        <selection n="[Sale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CA036AD5-82D3-45AA-8B5D-4162C5F27A18}" cache="Slicer_Date__Year" caption="Date (Year)" level="1" rowHeight="234950"/>
  <slicer name="Category 1" xr10:uid="{69191DC5-94E9-46DD-9AA1-1EB9BFDCF10B}" cache="Slicer_Category" caption="Category" level="1" style="SlicerStyleLight5" rowHeight="234950"/>
  <slicer name="Region" xr10:uid="{8999279F-F805-400B-A917-669B14528B1B}" cache="Slicer_Region" caption="Region" level="1" rowHeight="234950"/>
  <slicer name="City" xr10:uid="{2EE343F6-2D29-4FDD-B97C-BBF397D63A8F}"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29255-439E-46C4-B56F-93633A02F779}" name="SalesData" displayName="SalesData" ref="A1:L1001" tableType="queryTable" totalsRowShown="0">
  <autoFilter ref="A1:L1001" xr:uid="{31F29255-439E-46C4-B56F-93633A02F779}"/>
  <tableColumns count="12">
    <tableColumn id="1" xr3:uid="{57AD0D7E-D515-4D84-A9B6-3B28B61B445A}" uniqueName="1" name="OrderID" queryTableFieldId="1"/>
    <tableColumn id="2" xr3:uid="{739CE80D-1C14-4C00-950D-AAC9EBEF85E8}" uniqueName="2" name="Date" queryTableFieldId="2" dataDxfId="6"/>
    <tableColumn id="3" xr3:uid="{5C5DAAF8-68FA-47F0-8164-5F281A87C73E}" uniqueName="3" name="Year" queryTableFieldId="3"/>
    <tableColumn id="4" xr3:uid="{D3366B27-12DE-458A-A1A6-647885E028DE}" uniqueName="4" name="Month" queryTableFieldId="4" dataDxfId="5"/>
    <tableColumn id="5" xr3:uid="{9134A28C-D57A-4E34-8B51-B65DF2A491D7}" uniqueName="5" name="Region" queryTableFieldId="5" dataDxfId="4"/>
    <tableColumn id="6" xr3:uid="{18BFE53F-97E5-475C-90BE-D72EA15B434E}" uniqueName="6" name="State" queryTableFieldId="6" dataDxfId="3"/>
    <tableColumn id="7" xr3:uid="{3E3E1CDF-B87F-461E-A6F4-40AFF88840DA}" uniqueName="7" name="City" queryTableFieldId="7" dataDxfId="2"/>
    <tableColumn id="8" xr3:uid="{B8A97A7B-194E-407B-8F7F-8C401B4673ED}" uniqueName="8" name="Product" queryTableFieldId="8" dataDxfId="1"/>
    <tableColumn id="9" xr3:uid="{371A5E54-F82C-4DAD-84C5-7E712E7B5A63}" uniqueName="9" name="Category" queryTableFieldId="9" dataDxfId="0"/>
    <tableColumn id="10" xr3:uid="{DEEDAFF1-6129-402D-9597-443F2E7E8C60}" uniqueName="10" name="SalesAmount" queryTableFieldId="10"/>
    <tableColumn id="11" xr3:uid="{4825A553-1140-44DD-89EA-3D5CAA1ED4D9}" uniqueName="11" name="Cost" queryTableFieldId="11"/>
    <tableColumn id="12" xr3:uid="{9A6C6DE1-59B4-441B-8A2B-8A0A27E6464C}" uniqueName="12" name="Quantity"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96FD-4635-4B83-A645-C4A12DABD4CC}">
  <dimension ref="A1:M22"/>
  <sheetViews>
    <sheetView workbookViewId="0">
      <selection activeCell="G8" sqref="G8"/>
    </sheetView>
  </sheetViews>
  <sheetFormatPr defaultRowHeight="14.4" x14ac:dyDescent="0.3"/>
  <cols>
    <col min="1" max="1" width="18.77734375" bestFit="1" customWidth="1"/>
    <col min="2" max="2" width="15.5546875" bestFit="1" customWidth="1"/>
    <col min="3" max="3" width="9" bestFit="1" customWidth="1"/>
    <col min="4" max="4" width="10.77734375" bestFit="1" customWidth="1"/>
    <col min="5" max="5" width="10.109375" bestFit="1" customWidth="1"/>
    <col min="6" max="6" width="10.77734375" bestFit="1" customWidth="1"/>
    <col min="7" max="7" width="18.77734375" bestFit="1" customWidth="1"/>
    <col min="8" max="8" width="9.88671875" bestFit="1" customWidth="1"/>
    <col min="9" max="9" width="12.5546875" bestFit="1" customWidth="1"/>
    <col min="10" max="11" width="18.77734375" bestFit="1" customWidth="1"/>
    <col min="12" max="12" width="12" bestFit="1" customWidth="1"/>
    <col min="13" max="14" width="12.109375" bestFit="1" customWidth="1"/>
    <col min="15" max="25" width="15.5546875" bestFit="1" customWidth="1"/>
    <col min="26" max="26" width="10.77734375" bestFit="1" customWidth="1"/>
    <col min="27" max="546" width="15.5546875" bestFit="1" customWidth="1"/>
    <col min="547" max="547" width="10.77734375" bestFit="1" customWidth="1"/>
  </cols>
  <sheetData>
    <row r="1" spans="1:13" x14ac:dyDescent="0.3">
      <c r="A1" s="9" t="s">
        <v>56</v>
      </c>
      <c r="B1" s="9"/>
      <c r="C1" s="9"/>
      <c r="D1" s="9"/>
      <c r="F1" s="9" t="s">
        <v>57</v>
      </c>
      <c r="G1" s="9"/>
      <c r="I1" s="9" t="s">
        <v>58</v>
      </c>
      <c r="J1" s="9"/>
      <c r="L1" s="9" t="s">
        <v>60</v>
      </c>
      <c r="M1" s="9"/>
    </row>
    <row r="2" spans="1:13" x14ac:dyDescent="0.3">
      <c r="A2" s="2" t="s">
        <v>54</v>
      </c>
      <c r="B2" s="2" t="s">
        <v>50</v>
      </c>
      <c r="F2" s="2" t="s">
        <v>55</v>
      </c>
      <c r="G2" t="s">
        <v>54</v>
      </c>
      <c r="I2" s="2" t="s">
        <v>55</v>
      </c>
      <c r="J2" t="s">
        <v>54</v>
      </c>
      <c r="L2" s="2" t="s">
        <v>55</v>
      </c>
      <c r="M2" t="s">
        <v>59</v>
      </c>
    </row>
    <row r="3" spans="1:13" x14ac:dyDescent="0.3">
      <c r="B3" t="s">
        <v>52</v>
      </c>
      <c r="C3" t="s">
        <v>53</v>
      </c>
      <c r="D3" t="s">
        <v>51</v>
      </c>
      <c r="F3" s="3" t="s">
        <v>22</v>
      </c>
      <c r="G3">
        <v>1004000</v>
      </c>
      <c r="I3" s="3" t="s">
        <v>40</v>
      </c>
      <c r="J3">
        <v>3337610</v>
      </c>
      <c r="L3" s="3" t="s">
        <v>17</v>
      </c>
    </row>
    <row r="4" spans="1:13" x14ac:dyDescent="0.3">
      <c r="A4" s="2" t="s">
        <v>55</v>
      </c>
      <c r="F4" s="3" t="s">
        <v>30</v>
      </c>
      <c r="G4">
        <v>1302852</v>
      </c>
      <c r="I4" s="3" t="s">
        <v>25</v>
      </c>
      <c r="J4">
        <v>4945132</v>
      </c>
      <c r="L4" s="4" t="s">
        <v>16</v>
      </c>
      <c r="M4">
        <v>2136797</v>
      </c>
    </row>
    <row r="5" spans="1:13" x14ac:dyDescent="0.3">
      <c r="A5" s="3" t="s">
        <v>35</v>
      </c>
      <c r="B5">
        <v>861133</v>
      </c>
      <c r="C5">
        <v>713454</v>
      </c>
      <c r="D5">
        <v>1574587</v>
      </c>
      <c r="F5" s="3" t="s">
        <v>16</v>
      </c>
      <c r="G5">
        <v>7849038</v>
      </c>
      <c r="I5" s="3" t="s">
        <v>36</v>
      </c>
      <c r="J5">
        <v>2367236</v>
      </c>
      <c r="L5" s="4" t="s">
        <v>46</v>
      </c>
      <c r="M5">
        <v>664656</v>
      </c>
    </row>
    <row r="6" spans="1:13" x14ac:dyDescent="0.3">
      <c r="A6" s="3" t="s">
        <v>45</v>
      </c>
      <c r="B6">
        <v>1038672</v>
      </c>
      <c r="C6">
        <v>810418</v>
      </c>
      <c r="D6">
        <v>1849090</v>
      </c>
      <c r="F6" s="3" t="s">
        <v>46</v>
      </c>
      <c r="G6">
        <v>2506783</v>
      </c>
      <c r="I6" s="3" t="s">
        <v>43</v>
      </c>
      <c r="J6">
        <v>2163836</v>
      </c>
      <c r="L6" s="4" t="s">
        <v>27</v>
      </c>
      <c r="M6">
        <v>1034105</v>
      </c>
    </row>
    <row r="7" spans="1:13" x14ac:dyDescent="0.3">
      <c r="A7" s="3" t="s">
        <v>49</v>
      </c>
      <c r="B7">
        <v>916328</v>
      </c>
      <c r="C7">
        <v>1026310</v>
      </c>
      <c r="D7">
        <v>1942638</v>
      </c>
      <c r="F7" s="3" t="s">
        <v>34</v>
      </c>
      <c r="G7">
        <v>3852162</v>
      </c>
      <c r="I7" s="3" t="s">
        <v>32</v>
      </c>
      <c r="J7">
        <v>3082581</v>
      </c>
      <c r="L7" s="3" t="s">
        <v>23</v>
      </c>
    </row>
    <row r="8" spans="1:13" x14ac:dyDescent="0.3">
      <c r="A8" s="3" t="s">
        <v>38</v>
      </c>
      <c r="B8">
        <v>1136488</v>
      </c>
      <c r="C8">
        <v>1182766</v>
      </c>
      <c r="D8">
        <v>2319254</v>
      </c>
      <c r="F8" s="3" t="s">
        <v>41</v>
      </c>
      <c r="G8">
        <v>1938570</v>
      </c>
      <c r="I8" s="3" t="s">
        <v>20</v>
      </c>
      <c r="J8">
        <v>3550752</v>
      </c>
      <c r="L8" s="4" t="s">
        <v>22</v>
      </c>
      <c r="M8">
        <v>280437</v>
      </c>
    </row>
    <row r="9" spans="1:13" x14ac:dyDescent="0.3">
      <c r="A9" s="3" t="s">
        <v>18</v>
      </c>
      <c r="B9">
        <v>875027</v>
      </c>
      <c r="C9">
        <v>768467</v>
      </c>
      <c r="D9">
        <v>1643494</v>
      </c>
      <c r="F9" s="3" t="s">
        <v>27</v>
      </c>
      <c r="G9">
        <v>3625297</v>
      </c>
      <c r="I9" s="3" t="s">
        <v>14</v>
      </c>
      <c r="J9">
        <v>2631555</v>
      </c>
      <c r="L9" s="4" t="s">
        <v>30</v>
      </c>
      <c r="M9">
        <v>349854</v>
      </c>
    </row>
    <row r="10" spans="1:13" x14ac:dyDescent="0.3">
      <c r="A10" s="3" t="s">
        <v>31</v>
      </c>
      <c r="B10">
        <v>924505</v>
      </c>
      <c r="C10">
        <v>1039828</v>
      </c>
      <c r="D10">
        <v>1964333</v>
      </c>
      <c r="F10" s="3" t="s">
        <v>51</v>
      </c>
      <c r="G10">
        <v>22078702</v>
      </c>
      <c r="I10" s="3" t="s">
        <v>51</v>
      </c>
      <c r="J10">
        <v>22078702</v>
      </c>
      <c r="L10" s="4" t="s">
        <v>34</v>
      </c>
      <c r="M10">
        <v>1060823</v>
      </c>
    </row>
    <row r="11" spans="1:13" x14ac:dyDescent="0.3">
      <c r="A11" s="3" t="s">
        <v>28</v>
      </c>
      <c r="B11">
        <v>1049317</v>
      </c>
      <c r="C11">
        <v>1035455</v>
      </c>
      <c r="D11">
        <v>2084772</v>
      </c>
      <c r="L11" s="4" t="s">
        <v>41</v>
      </c>
      <c r="M11">
        <v>521035</v>
      </c>
    </row>
    <row r="12" spans="1:13" x14ac:dyDescent="0.3">
      <c r="A12" s="3" t="s">
        <v>48</v>
      </c>
      <c r="B12">
        <v>865705</v>
      </c>
      <c r="C12">
        <v>828225</v>
      </c>
      <c r="D12">
        <v>1693930</v>
      </c>
      <c r="I12" s="9" t="s">
        <v>61</v>
      </c>
      <c r="J12" s="9"/>
      <c r="L12" s="3" t="s">
        <v>51</v>
      </c>
      <c r="M12">
        <v>6047707</v>
      </c>
    </row>
    <row r="13" spans="1:13" x14ac:dyDescent="0.3">
      <c r="A13" s="3" t="s">
        <v>42</v>
      </c>
      <c r="B13">
        <v>605972</v>
      </c>
      <c r="C13">
        <v>1215565</v>
      </c>
      <c r="D13">
        <v>1821537</v>
      </c>
      <c r="I13" s="2" t="s">
        <v>55</v>
      </c>
      <c r="J13" t="s">
        <v>54</v>
      </c>
    </row>
    <row r="14" spans="1:13" x14ac:dyDescent="0.3">
      <c r="A14" s="3" t="s">
        <v>12</v>
      </c>
      <c r="B14">
        <v>1118654</v>
      </c>
      <c r="C14">
        <v>668902</v>
      </c>
      <c r="D14">
        <v>1787556</v>
      </c>
      <c r="I14" s="3" t="s">
        <v>17</v>
      </c>
      <c r="J14">
        <v>13981118</v>
      </c>
    </row>
    <row r="15" spans="1:13" x14ac:dyDescent="0.3">
      <c r="A15" s="3" t="s">
        <v>39</v>
      </c>
      <c r="B15">
        <v>954889</v>
      </c>
      <c r="C15">
        <v>832638</v>
      </c>
      <c r="D15">
        <v>1787527</v>
      </c>
      <c r="I15" s="3" t="s">
        <v>23</v>
      </c>
      <c r="J15">
        <v>8097584</v>
      </c>
    </row>
    <row r="16" spans="1:13" x14ac:dyDescent="0.3">
      <c r="A16" s="3" t="s">
        <v>47</v>
      </c>
      <c r="B16">
        <v>623824</v>
      </c>
      <c r="C16">
        <v>986160</v>
      </c>
      <c r="D16">
        <v>1609984</v>
      </c>
      <c r="I16" s="3" t="s">
        <v>51</v>
      </c>
      <c r="J16">
        <v>22078702</v>
      </c>
    </row>
    <row r="17" spans="1:5" x14ac:dyDescent="0.3">
      <c r="A17" s="3" t="s">
        <v>51</v>
      </c>
      <c r="B17">
        <v>10970514</v>
      </c>
      <c r="C17">
        <v>11108188</v>
      </c>
      <c r="D17">
        <v>22078702</v>
      </c>
    </row>
    <row r="19" spans="1:5" x14ac:dyDescent="0.3">
      <c r="A19" s="7" t="s">
        <v>66</v>
      </c>
      <c r="B19" s="8"/>
      <c r="C19" s="8"/>
      <c r="D19" s="8"/>
      <c r="E19" s="8"/>
    </row>
    <row r="20" spans="1:5" x14ac:dyDescent="0.3">
      <c r="A20" s="2" t="s">
        <v>62</v>
      </c>
      <c r="B20" t="s">
        <v>67</v>
      </c>
      <c r="C20" t="s">
        <v>63</v>
      </c>
      <c r="D20" t="s">
        <v>64</v>
      </c>
      <c r="E20" t="s">
        <v>65</v>
      </c>
    </row>
    <row r="21" spans="1:5" x14ac:dyDescent="0.3">
      <c r="A21">
        <v>22078702</v>
      </c>
      <c r="B21">
        <v>16030995</v>
      </c>
      <c r="C21" s="5">
        <v>0.27391587603292983</v>
      </c>
      <c r="D21" s="5">
        <v>1.0125494575732732</v>
      </c>
      <c r="E21" t="s">
        <v>68</v>
      </c>
    </row>
    <row r="22" spans="1:5" x14ac:dyDescent="0.3">
      <c r="A22">
        <f>GETPIVOTDATA("[Measures].[Total Sales]",$A$20)</f>
        <v>22078702</v>
      </c>
      <c r="B22">
        <f>GETPIVOTDATA("[Measures].[Total Cost]",$B$20)</f>
        <v>16030995</v>
      </c>
      <c r="C22" s="6">
        <f>GETPIVOTDATA("[Measures].[Profit %]",$C$20)</f>
        <v>0.27391587603292983</v>
      </c>
      <c r="D22" s="6">
        <f>GETPIVOTDATA("[Measures].[Growth %]",$D$20)</f>
        <v>1.0125494575732732</v>
      </c>
      <c r="E22" t="str">
        <f>GETPIVOTDATA("[Measures].[Overall KPI]",$E$20)</f>
        <v>Excellent</v>
      </c>
    </row>
  </sheetData>
  <mergeCells count="6">
    <mergeCell ref="A19:E19"/>
    <mergeCell ref="A1:D1"/>
    <mergeCell ref="F1:G1"/>
    <mergeCell ref="I1:J1"/>
    <mergeCell ref="L1:M1"/>
    <mergeCell ref="I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3836A-6F52-43EB-96D4-34535131DE10}">
  <dimension ref="A1:L1001"/>
  <sheetViews>
    <sheetView topLeftCell="A967" workbookViewId="0">
      <selection activeCell="C970" sqref="C970"/>
    </sheetView>
  </sheetViews>
  <sheetFormatPr defaultRowHeight="14.4" x14ac:dyDescent="0.3"/>
  <cols>
    <col min="1" max="1" width="9.77734375" bestFit="1" customWidth="1"/>
    <col min="2" max="2" width="10.33203125" bestFit="1" customWidth="1"/>
    <col min="3" max="3" width="6.88671875" bestFit="1" customWidth="1"/>
    <col min="4" max="5" width="9" bestFit="1" customWidth="1"/>
    <col min="6" max="6" width="11.44140625" bestFit="1" customWidth="1"/>
    <col min="7" max="7" width="10.6640625" bestFit="1" customWidth="1"/>
    <col min="8" max="8" width="9.88671875" bestFit="1" customWidth="1"/>
    <col min="9" max="9" width="10.77734375" bestFit="1" customWidth="1"/>
    <col min="10" max="10" width="14.33203125" bestFit="1" customWidth="1"/>
    <col min="11" max="11" width="6.88671875" bestFit="1" customWidth="1"/>
    <col min="12" max="12" width="10.554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1001</v>
      </c>
      <c r="B2" s="1">
        <v>45214</v>
      </c>
      <c r="C2">
        <v>2023</v>
      </c>
      <c r="D2" t="s">
        <v>12</v>
      </c>
      <c r="E2" t="s">
        <v>13</v>
      </c>
      <c r="F2" t="s">
        <v>14</v>
      </c>
      <c r="G2" t="s">
        <v>15</v>
      </c>
      <c r="H2" t="s">
        <v>16</v>
      </c>
      <c r="I2" t="s">
        <v>17</v>
      </c>
      <c r="J2">
        <v>50067</v>
      </c>
      <c r="K2">
        <v>37141</v>
      </c>
      <c r="L2">
        <v>1</v>
      </c>
    </row>
    <row r="3" spans="1:12" x14ac:dyDescent="0.3">
      <c r="A3">
        <v>1002</v>
      </c>
      <c r="B3" s="1">
        <v>45061</v>
      </c>
      <c r="C3">
        <v>2023</v>
      </c>
      <c r="D3" t="s">
        <v>18</v>
      </c>
      <c r="E3" t="s">
        <v>19</v>
      </c>
      <c r="F3" t="s">
        <v>20</v>
      </c>
      <c r="G3" t="s">
        <v>21</v>
      </c>
      <c r="H3" t="s">
        <v>22</v>
      </c>
      <c r="I3" t="s">
        <v>23</v>
      </c>
      <c r="J3">
        <v>8862</v>
      </c>
      <c r="K3">
        <v>5917</v>
      </c>
      <c r="L3">
        <v>3</v>
      </c>
    </row>
    <row r="4" spans="1:12" x14ac:dyDescent="0.3">
      <c r="A4">
        <v>1003</v>
      </c>
      <c r="B4" s="1">
        <v>45058</v>
      </c>
      <c r="C4">
        <v>2023</v>
      </c>
      <c r="D4" t="s">
        <v>18</v>
      </c>
      <c r="E4" t="s">
        <v>19</v>
      </c>
      <c r="F4" t="s">
        <v>20</v>
      </c>
      <c r="G4" t="s">
        <v>21</v>
      </c>
      <c r="H4" t="s">
        <v>22</v>
      </c>
      <c r="I4" t="s">
        <v>23</v>
      </c>
      <c r="J4">
        <v>5931</v>
      </c>
      <c r="K4">
        <v>4952</v>
      </c>
      <c r="L4">
        <v>4</v>
      </c>
    </row>
    <row r="5" spans="1:12" x14ac:dyDescent="0.3">
      <c r="A5">
        <v>1004</v>
      </c>
      <c r="B5" s="1">
        <v>45210</v>
      </c>
      <c r="C5">
        <v>2023</v>
      </c>
      <c r="D5" t="s">
        <v>12</v>
      </c>
      <c r="E5" t="s">
        <v>24</v>
      </c>
      <c r="F5" t="s">
        <v>25</v>
      </c>
      <c r="G5" t="s">
        <v>26</v>
      </c>
      <c r="H5" t="s">
        <v>27</v>
      </c>
      <c r="I5" t="s">
        <v>17</v>
      </c>
      <c r="J5">
        <v>22965</v>
      </c>
      <c r="K5">
        <v>17710</v>
      </c>
      <c r="L5">
        <v>3</v>
      </c>
    </row>
    <row r="6" spans="1:12" x14ac:dyDescent="0.3">
      <c r="A6">
        <v>1005</v>
      </c>
      <c r="B6" s="1">
        <v>45498</v>
      </c>
      <c r="C6">
        <v>2024</v>
      </c>
      <c r="D6" t="s">
        <v>28</v>
      </c>
      <c r="E6" t="s">
        <v>24</v>
      </c>
      <c r="F6" t="s">
        <v>25</v>
      </c>
      <c r="G6" t="s">
        <v>29</v>
      </c>
      <c r="H6" t="s">
        <v>30</v>
      </c>
      <c r="I6" t="s">
        <v>23</v>
      </c>
      <c r="J6">
        <v>10717</v>
      </c>
      <c r="K6">
        <v>7188</v>
      </c>
      <c r="L6">
        <v>2</v>
      </c>
    </row>
    <row r="7" spans="1:12" x14ac:dyDescent="0.3">
      <c r="A7">
        <v>1006</v>
      </c>
      <c r="B7" s="1">
        <v>45103</v>
      </c>
      <c r="C7">
        <v>2023</v>
      </c>
      <c r="D7" t="s">
        <v>31</v>
      </c>
      <c r="E7" t="s">
        <v>24</v>
      </c>
      <c r="F7" t="s">
        <v>32</v>
      </c>
      <c r="G7" t="s">
        <v>33</v>
      </c>
      <c r="H7" t="s">
        <v>34</v>
      </c>
      <c r="I7" t="s">
        <v>23</v>
      </c>
      <c r="J7">
        <v>23476</v>
      </c>
      <c r="K7">
        <v>18930</v>
      </c>
      <c r="L7">
        <v>3</v>
      </c>
    </row>
    <row r="8" spans="1:12" x14ac:dyDescent="0.3">
      <c r="A8">
        <v>1007</v>
      </c>
      <c r="B8" s="1">
        <v>45293</v>
      </c>
      <c r="C8">
        <v>2024</v>
      </c>
      <c r="D8" t="s">
        <v>35</v>
      </c>
      <c r="E8" t="s">
        <v>13</v>
      </c>
      <c r="F8" t="s">
        <v>36</v>
      </c>
      <c r="G8" t="s">
        <v>37</v>
      </c>
      <c r="H8" t="s">
        <v>27</v>
      </c>
      <c r="I8" t="s">
        <v>17</v>
      </c>
      <c r="J8">
        <v>20891</v>
      </c>
      <c r="K8">
        <v>12579</v>
      </c>
      <c r="L8">
        <v>1</v>
      </c>
    </row>
    <row r="9" spans="1:12" x14ac:dyDescent="0.3">
      <c r="A9">
        <v>1008</v>
      </c>
      <c r="B9" s="1">
        <v>45031</v>
      </c>
      <c r="C9">
        <v>2023</v>
      </c>
      <c r="D9" t="s">
        <v>38</v>
      </c>
      <c r="E9" t="s">
        <v>24</v>
      </c>
      <c r="F9" t="s">
        <v>32</v>
      </c>
      <c r="G9" t="s">
        <v>33</v>
      </c>
      <c r="H9" t="s">
        <v>16</v>
      </c>
      <c r="I9" t="s">
        <v>17</v>
      </c>
      <c r="J9">
        <v>67693</v>
      </c>
      <c r="K9">
        <v>55581</v>
      </c>
      <c r="L9">
        <v>4</v>
      </c>
    </row>
    <row r="10" spans="1:12" x14ac:dyDescent="0.3">
      <c r="A10">
        <v>1009</v>
      </c>
      <c r="B10" s="1">
        <v>45492</v>
      </c>
      <c r="C10">
        <v>2024</v>
      </c>
      <c r="D10" t="s">
        <v>28</v>
      </c>
      <c r="E10" t="s">
        <v>24</v>
      </c>
      <c r="F10" t="s">
        <v>25</v>
      </c>
      <c r="G10" t="s">
        <v>29</v>
      </c>
      <c r="H10" t="s">
        <v>22</v>
      </c>
      <c r="I10" t="s">
        <v>23</v>
      </c>
      <c r="J10">
        <v>6183</v>
      </c>
      <c r="K10">
        <v>4487</v>
      </c>
      <c r="L10">
        <v>1</v>
      </c>
    </row>
    <row r="11" spans="1:12" x14ac:dyDescent="0.3">
      <c r="A11">
        <v>1010</v>
      </c>
      <c r="B11" s="1">
        <v>45050</v>
      </c>
      <c r="C11">
        <v>2023</v>
      </c>
      <c r="D11" t="s">
        <v>18</v>
      </c>
      <c r="E11" t="s">
        <v>13</v>
      </c>
      <c r="F11" t="s">
        <v>36</v>
      </c>
      <c r="G11" t="s">
        <v>37</v>
      </c>
      <c r="H11" t="s">
        <v>22</v>
      </c>
      <c r="I11" t="s">
        <v>23</v>
      </c>
      <c r="J11">
        <v>9335</v>
      </c>
      <c r="K11">
        <v>6772</v>
      </c>
      <c r="L11">
        <v>2</v>
      </c>
    </row>
    <row r="12" spans="1:12" x14ac:dyDescent="0.3">
      <c r="A12">
        <v>1011</v>
      </c>
      <c r="B12" s="1">
        <v>45608</v>
      </c>
      <c r="C12">
        <v>2024</v>
      </c>
      <c r="D12" t="s">
        <v>39</v>
      </c>
      <c r="E12" t="s">
        <v>19</v>
      </c>
      <c r="F12" t="s">
        <v>40</v>
      </c>
      <c r="G12" t="s">
        <v>40</v>
      </c>
      <c r="H12" t="s">
        <v>34</v>
      </c>
      <c r="I12" t="s">
        <v>23</v>
      </c>
      <c r="J12">
        <v>21597</v>
      </c>
      <c r="K12">
        <v>15687</v>
      </c>
      <c r="L12">
        <v>4</v>
      </c>
    </row>
    <row r="13" spans="1:12" x14ac:dyDescent="0.3">
      <c r="A13">
        <v>1012</v>
      </c>
      <c r="B13" s="1">
        <v>45107</v>
      </c>
      <c r="C13">
        <v>2023</v>
      </c>
      <c r="D13" t="s">
        <v>31</v>
      </c>
      <c r="E13" t="s">
        <v>24</v>
      </c>
      <c r="F13" t="s">
        <v>32</v>
      </c>
      <c r="G13" t="s">
        <v>33</v>
      </c>
      <c r="H13" t="s">
        <v>16</v>
      </c>
      <c r="I13" t="s">
        <v>17</v>
      </c>
      <c r="J13">
        <v>43930</v>
      </c>
      <c r="K13">
        <v>34105</v>
      </c>
      <c r="L13">
        <v>2</v>
      </c>
    </row>
    <row r="14" spans="1:12" x14ac:dyDescent="0.3">
      <c r="A14">
        <v>1013</v>
      </c>
      <c r="B14" s="1">
        <v>45237</v>
      </c>
      <c r="C14">
        <v>2023</v>
      </c>
      <c r="D14" t="s">
        <v>39</v>
      </c>
      <c r="E14" t="s">
        <v>24</v>
      </c>
      <c r="F14" t="s">
        <v>25</v>
      </c>
      <c r="G14" t="s">
        <v>29</v>
      </c>
      <c r="H14" t="s">
        <v>34</v>
      </c>
      <c r="I14" t="s">
        <v>23</v>
      </c>
      <c r="J14">
        <v>19424</v>
      </c>
      <c r="K14">
        <v>15155</v>
      </c>
      <c r="L14">
        <v>4</v>
      </c>
    </row>
    <row r="15" spans="1:12" x14ac:dyDescent="0.3">
      <c r="A15">
        <v>1014</v>
      </c>
      <c r="B15" s="1">
        <v>45383</v>
      </c>
      <c r="C15">
        <v>2024</v>
      </c>
      <c r="D15" t="s">
        <v>38</v>
      </c>
      <c r="E15" t="s">
        <v>19</v>
      </c>
      <c r="F15" t="s">
        <v>40</v>
      </c>
      <c r="G15" t="s">
        <v>40</v>
      </c>
      <c r="H15" t="s">
        <v>41</v>
      </c>
      <c r="I15" t="s">
        <v>23</v>
      </c>
      <c r="J15">
        <v>7504</v>
      </c>
      <c r="K15">
        <v>5780</v>
      </c>
      <c r="L15">
        <v>2</v>
      </c>
    </row>
    <row r="16" spans="1:12" x14ac:dyDescent="0.3">
      <c r="A16">
        <v>1015</v>
      </c>
      <c r="B16" s="1">
        <v>45561</v>
      </c>
      <c r="C16">
        <v>2024</v>
      </c>
      <c r="D16" t="s">
        <v>42</v>
      </c>
      <c r="E16" t="s">
        <v>13</v>
      </c>
      <c r="F16" t="s">
        <v>43</v>
      </c>
      <c r="G16" t="s">
        <v>44</v>
      </c>
      <c r="H16" t="s">
        <v>22</v>
      </c>
      <c r="I16" t="s">
        <v>23</v>
      </c>
      <c r="J16">
        <v>9543</v>
      </c>
      <c r="K16">
        <v>5943</v>
      </c>
      <c r="L16">
        <v>3</v>
      </c>
    </row>
    <row r="17" spans="1:12" x14ac:dyDescent="0.3">
      <c r="A17">
        <v>1016</v>
      </c>
      <c r="B17" s="1">
        <v>45093</v>
      </c>
      <c r="C17">
        <v>2023</v>
      </c>
      <c r="D17" t="s">
        <v>31</v>
      </c>
      <c r="E17" t="s">
        <v>19</v>
      </c>
      <c r="F17" t="s">
        <v>20</v>
      </c>
      <c r="G17" t="s">
        <v>21</v>
      </c>
      <c r="H17" t="s">
        <v>34</v>
      </c>
      <c r="I17" t="s">
        <v>23</v>
      </c>
      <c r="J17">
        <v>29615</v>
      </c>
      <c r="K17">
        <v>17770</v>
      </c>
      <c r="L17">
        <v>5</v>
      </c>
    </row>
    <row r="18" spans="1:12" x14ac:dyDescent="0.3">
      <c r="A18">
        <v>1017</v>
      </c>
      <c r="B18" s="1">
        <v>44961</v>
      </c>
      <c r="C18">
        <v>2023</v>
      </c>
      <c r="D18" t="s">
        <v>45</v>
      </c>
      <c r="E18" t="s">
        <v>19</v>
      </c>
      <c r="F18" t="s">
        <v>40</v>
      </c>
      <c r="G18" t="s">
        <v>40</v>
      </c>
      <c r="H18" t="s">
        <v>27</v>
      </c>
      <c r="I18" t="s">
        <v>17</v>
      </c>
      <c r="J18">
        <v>15535</v>
      </c>
      <c r="K18">
        <v>12106</v>
      </c>
      <c r="L18">
        <v>4</v>
      </c>
    </row>
    <row r="19" spans="1:12" x14ac:dyDescent="0.3">
      <c r="A19">
        <v>1018</v>
      </c>
      <c r="B19" s="1">
        <v>45484</v>
      </c>
      <c r="C19">
        <v>2024</v>
      </c>
      <c r="D19" t="s">
        <v>28</v>
      </c>
      <c r="E19" t="s">
        <v>19</v>
      </c>
      <c r="F19" t="s">
        <v>20</v>
      </c>
      <c r="G19" t="s">
        <v>21</v>
      </c>
      <c r="H19" t="s">
        <v>22</v>
      </c>
      <c r="I19" t="s">
        <v>23</v>
      </c>
      <c r="J19">
        <v>5971</v>
      </c>
      <c r="K19">
        <v>4313</v>
      </c>
      <c r="L19">
        <v>3</v>
      </c>
    </row>
    <row r="20" spans="1:12" x14ac:dyDescent="0.3">
      <c r="A20">
        <v>1019</v>
      </c>
      <c r="B20" s="1">
        <v>44933</v>
      </c>
      <c r="C20">
        <v>2023</v>
      </c>
      <c r="D20" t="s">
        <v>35</v>
      </c>
      <c r="E20" t="s">
        <v>19</v>
      </c>
      <c r="F20" t="s">
        <v>20</v>
      </c>
      <c r="G20" t="s">
        <v>21</v>
      </c>
      <c r="H20" t="s">
        <v>30</v>
      </c>
      <c r="I20" t="s">
        <v>23</v>
      </c>
      <c r="J20">
        <v>12627</v>
      </c>
      <c r="K20">
        <v>9713</v>
      </c>
      <c r="L20">
        <v>4</v>
      </c>
    </row>
    <row r="21" spans="1:12" x14ac:dyDescent="0.3">
      <c r="A21">
        <v>1020</v>
      </c>
      <c r="B21" s="1">
        <v>45433</v>
      </c>
      <c r="C21">
        <v>2024</v>
      </c>
      <c r="D21" t="s">
        <v>18</v>
      </c>
      <c r="E21" t="s">
        <v>13</v>
      </c>
      <c r="F21" t="s">
        <v>14</v>
      </c>
      <c r="G21" t="s">
        <v>15</v>
      </c>
      <c r="H21" t="s">
        <v>30</v>
      </c>
      <c r="I21" t="s">
        <v>23</v>
      </c>
      <c r="J21">
        <v>6942</v>
      </c>
      <c r="K21">
        <v>5257</v>
      </c>
      <c r="L21">
        <v>2</v>
      </c>
    </row>
    <row r="22" spans="1:12" x14ac:dyDescent="0.3">
      <c r="A22">
        <v>1021</v>
      </c>
      <c r="B22" s="1">
        <v>45559</v>
      </c>
      <c r="C22">
        <v>2024</v>
      </c>
      <c r="D22" t="s">
        <v>42</v>
      </c>
      <c r="E22" t="s">
        <v>13</v>
      </c>
      <c r="F22" t="s">
        <v>43</v>
      </c>
      <c r="G22" t="s">
        <v>44</v>
      </c>
      <c r="H22" t="s">
        <v>16</v>
      </c>
      <c r="I22" t="s">
        <v>17</v>
      </c>
      <c r="J22">
        <v>41401</v>
      </c>
      <c r="K22">
        <v>33404</v>
      </c>
      <c r="L22">
        <v>5</v>
      </c>
    </row>
    <row r="23" spans="1:12" x14ac:dyDescent="0.3">
      <c r="A23">
        <v>1022</v>
      </c>
      <c r="B23" s="1">
        <v>45623</v>
      </c>
      <c r="C23">
        <v>2024</v>
      </c>
      <c r="D23" t="s">
        <v>39</v>
      </c>
      <c r="E23" t="s">
        <v>13</v>
      </c>
      <c r="F23" t="s">
        <v>36</v>
      </c>
      <c r="G23" t="s">
        <v>37</v>
      </c>
      <c r="H23" t="s">
        <v>22</v>
      </c>
      <c r="I23" t="s">
        <v>23</v>
      </c>
      <c r="J23">
        <v>8292</v>
      </c>
      <c r="K23">
        <v>6435</v>
      </c>
      <c r="L23">
        <v>2</v>
      </c>
    </row>
    <row r="24" spans="1:12" x14ac:dyDescent="0.3">
      <c r="A24">
        <v>1023</v>
      </c>
      <c r="B24" s="1">
        <v>45553</v>
      </c>
      <c r="C24">
        <v>2024</v>
      </c>
      <c r="D24" t="s">
        <v>42</v>
      </c>
      <c r="E24" t="s">
        <v>19</v>
      </c>
      <c r="F24" t="s">
        <v>20</v>
      </c>
      <c r="G24" t="s">
        <v>21</v>
      </c>
      <c r="H24" t="s">
        <v>22</v>
      </c>
      <c r="I24" t="s">
        <v>23</v>
      </c>
      <c r="J24">
        <v>8697</v>
      </c>
      <c r="K24">
        <v>5909</v>
      </c>
      <c r="L24">
        <v>1</v>
      </c>
    </row>
    <row r="25" spans="1:12" x14ac:dyDescent="0.3">
      <c r="A25">
        <v>1024</v>
      </c>
      <c r="B25" s="1">
        <v>45121</v>
      </c>
      <c r="C25">
        <v>2023</v>
      </c>
      <c r="D25" t="s">
        <v>28</v>
      </c>
      <c r="E25" t="s">
        <v>19</v>
      </c>
      <c r="F25" t="s">
        <v>40</v>
      </c>
      <c r="G25" t="s">
        <v>40</v>
      </c>
      <c r="H25" t="s">
        <v>16</v>
      </c>
      <c r="I25" t="s">
        <v>17</v>
      </c>
      <c r="J25">
        <v>63966</v>
      </c>
      <c r="K25">
        <v>39065</v>
      </c>
      <c r="L25">
        <v>2</v>
      </c>
    </row>
    <row r="26" spans="1:12" x14ac:dyDescent="0.3">
      <c r="A26">
        <v>1025</v>
      </c>
      <c r="B26" s="1">
        <v>45239</v>
      </c>
      <c r="C26">
        <v>2023</v>
      </c>
      <c r="D26" t="s">
        <v>39</v>
      </c>
      <c r="E26" t="s">
        <v>24</v>
      </c>
      <c r="F26" t="s">
        <v>32</v>
      </c>
      <c r="G26" t="s">
        <v>33</v>
      </c>
      <c r="H26" t="s">
        <v>16</v>
      </c>
      <c r="I26" t="s">
        <v>17</v>
      </c>
      <c r="J26">
        <v>48808</v>
      </c>
      <c r="K26">
        <v>39988</v>
      </c>
      <c r="L26">
        <v>1</v>
      </c>
    </row>
    <row r="27" spans="1:12" x14ac:dyDescent="0.3">
      <c r="A27">
        <v>1026</v>
      </c>
      <c r="B27" s="1">
        <v>45182</v>
      </c>
      <c r="C27">
        <v>2023</v>
      </c>
      <c r="D27" t="s">
        <v>42</v>
      </c>
      <c r="E27" t="s">
        <v>13</v>
      </c>
      <c r="F27" t="s">
        <v>43</v>
      </c>
      <c r="G27" t="s">
        <v>44</v>
      </c>
      <c r="H27" t="s">
        <v>41</v>
      </c>
      <c r="I27" t="s">
        <v>23</v>
      </c>
      <c r="J27">
        <v>9245</v>
      </c>
      <c r="K27">
        <v>6744</v>
      </c>
      <c r="L27">
        <v>3</v>
      </c>
    </row>
    <row r="28" spans="1:12" x14ac:dyDescent="0.3">
      <c r="A28">
        <v>1027</v>
      </c>
      <c r="B28" s="1">
        <v>45423</v>
      </c>
      <c r="C28">
        <v>2024</v>
      </c>
      <c r="D28" t="s">
        <v>18</v>
      </c>
      <c r="E28" t="s">
        <v>19</v>
      </c>
      <c r="F28" t="s">
        <v>40</v>
      </c>
      <c r="G28" t="s">
        <v>40</v>
      </c>
      <c r="H28" t="s">
        <v>27</v>
      </c>
      <c r="I28" t="s">
        <v>17</v>
      </c>
      <c r="J28">
        <v>26724</v>
      </c>
      <c r="K28">
        <v>16851</v>
      </c>
      <c r="L28">
        <v>5</v>
      </c>
    </row>
    <row r="29" spans="1:12" x14ac:dyDescent="0.3">
      <c r="A29">
        <v>1028</v>
      </c>
      <c r="B29" s="1">
        <v>45225</v>
      </c>
      <c r="C29">
        <v>2023</v>
      </c>
      <c r="D29" t="s">
        <v>12</v>
      </c>
      <c r="E29" t="s">
        <v>13</v>
      </c>
      <c r="F29" t="s">
        <v>14</v>
      </c>
      <c r="G29" t="s">
        <v>15</v>
      </c>
      <c r="H29" t="s">
        <v>30</v>
      </c>
      <c r="I29" t="s">
        <v>23</v>
      </c>
      <c r="J29">
        <v>9058</v>
      </c>
      <c r="K29">
        <v>6606</v>
      </c>
      <c r="L29">
        <v>5</v>
      </c>
    </row>
    <row r="30" spans="1:12" x14ac:dyDescent="0.3">
      <c r="A30">
        <v>1029</v>
      </c>
      <c r="B30" s="1">
        <v>45348</v>
      </c>
      <c r="C30">
        <v>2024</v>
      </c>
      <c r="D30" t="s">
        <v>45</v>
      </c>
      <c r="E30" t="s">
        <v>13</v>
      </c>
      <c r="F30" t="s">
        <v>43</v>
      </c>
      <c r="G30" t="s">
        <v>44</v>
      </c>
      <c r="H30" t="s">
        <v>30</v>
      </c>
      <c r="I30" t="s">
        <v>23</v>
      </c>
      <c r="J30">
        <v>8277</v>
      </c>
      <c r="K30">
        <v>5126</v>
      </c>
      <c r="L30">
        <v>3</v>
      </c>
    </row>
    <row r="31" spans="1:12" x14ac:dyDescent="0.3">
      <c r="A31">
        <v>1030</v>
      </c>
      <c r="B31" s="1">
        <v>45482</v>
      </c>
      <c r="C31">
        <v>2024</v>
      </c>
      <c r="D31" t="s">
        <v>28</v>
      </c>
      <c r="E31" t="s">
        <v>24</v>
      </c>
      <c r="F31" t="s">
        <v>32</v>
      </c>
      <c r="G31" t="s">
        <v>33</v>
      </c>
      <c r="H31" t="s">
        <v>22</v>
      </c>
      <c r="I31" t="s">
        <v>23</v>
      </c>
      <c r="J31">
        <v>8151</v>
      </c>
      <c r="K31">
        <v>5844</v>
      </c>
      <c r="L31">
        <v>4</v>
      </c>
    </row>
    <row r="32" spans="1:12" x14ac:dyDescent="0.3">
      <c r="A32">
        <v>1031</v>
      </c>
      <c r="B32" s="1">
        <v>45094</v>
      </c>
      <c r="C32">
        <v>2023</v>
      </c>
      <c r="D32" t="s">
        <v>31</v>
      </c>
      <c r="E32" t="s">
        <v>24</v>
      </c>
      <c r="F32" t="s">
        <v>32</v>
      </c>
      <c r="G32" t="s">
        <v>33</v>
      </c>
      <c r="H32" t="s">
        <v>27</v>
      </c>
      <c r="I32" t="s">
        <v>17</v>
      </c>
      <c r="J32">
        <v>23266</v>
      </c>
      <c r="K32">
        <v>14185</v>
      </c>
      <c r="L32">
        <v>5</v>
      </c>
    </row>
    <row r="33" spans="1:12" x14ac:dyDescent="0.3">
      <c r="A33">
        <v>1032</v>
      </c>
      <c r="B33" s="1">
        <v>45622</v>
      </c>
      <c r="C33">
        <v>2024</v>
      </c>
      <c r="D33" t="s">
        <v>39</v>
      </c>
      <c r="E33" t="s">
        <v>19</v>
      </c>
      <c r="F33" t="s">
        <v>40</v>
      </c>
      <c r="G33" t="s">
        <v>40</v>
      </c>
      <c r="H33" t="s">
        <v>46</v>
      </c>
      <c r="I33" t="s">
        <v>17</v>
      </c>
      <c r="J33">
        <v>29747</v>
      </c>
      <c r="K33">
        <v>23168</v>
      </c>
      <c r="L33">
        <v>4</v>
      </c>
    </row>
    <row r="34" spans="1:12" x14ac:dyDescent="0.3">
      <c r="A34">
        <v>1033</v>
      </c>
      <c r="B34" s="1">
        <v>45202</v>
      </c>
      <c r="C34">
        <v>2023</v>
      </c>
      <c r="D34" t="s">
        <v>12</v>
      </c>
      <c r="E34" t="s">
        <v>24</v>
      </c>
      <c r="F34" t="s">
        <v>32</v>
      </c>
      <c r="G34" t="s">
        <v>33</v>
      </c>
      <c r="H34" t="s">
        <v>16</v>
      </c>
      <c r="I34" t="s">
        <v>17</v>
      </c>
      <c r="J34">
        <v>44320</v>
      </c>
      <c r="K34">
        <v>28236</v>
      </c>
      <c r="L34">
        <v>2</v>
      </c>
    </row>
    <row r="35" spans="1:12" x14ac:dyDescent="0.3">
      <c r="A35">
        <v>1034</v>
      </c>
      <c r="B35" s="1">
        <v>45423</v>
      </c>
      <c r="C35">
        <v>2024</v>
      </c>
      <c r="D35" t="s">
        <v>18</v>
      </c>
      <c r="E35" t="s">
        <v>24</v>
      </c>
      <c r="F35" t="s">
        <v>25</v>
      </c>
      <c r="G35" t="s">
        <v>26</v>
      </c>
      <c r="H35" t="s">
        <v>22</v>
      </c>
      <c r="I35" t="s">
        <v>23</v>
      </c>
      <c r="J35">
        <v>7857</v>
      </c>
      <c r="K35">
        <v>5392</v>
      </c>
      <c r="L35">
        <v>1</v>
      </c>
    </row>
    <row r="36" spans="1:12" x14ac:dyDescent="0.3">
      <c r="A36">
        <v>1035</v>
      </c>
      <c r="B36" s="1">
        <v>45282</v>
      </c>
      <c r="C36">
        <v>2023</v>
      </c>
      <c r="D36" t="s">
        <v>47</v>
      </c>
      <c r="E36" t="s">
        <v>19</v>
      </c>
      <c r="F36" t="s">
        <v>20</v>
      </c>
      <c r="G36" t="s">
        <v>21</v>
      </c>
      <c r="H36" t="s">
        <v>34</v>
      </c>
      <c r="I36" t="s">
        <v>23</v>
      </c>
      <c r="J36">
        <v>35687</v>
      </c>
      <c r="K36">
        <v>27211</v>
      </c>
      <c r="L36">
        <v>3</v>
      </c>
    </row>
    <row r="37" spans="1:12" x14ac:dyDescent="0.3">
      <c r="A37">
        <v>1036</v>
      </c>
      <c r="B37" s="1">
        <v>45017</v>
      </c>
      <c r="C37">
        <v>2023</v>
      </c>
      <c r="D37" t="s">
        <v>38</v>
      </c>
      <c r="E37" t="s">
        <v>24</v>
      </c>
      <c r="F37" t="s">
        <v>25</v>
      </c>
      <c r="G37" t="s">
        <v>29</v>
      </c>
      <c r="H37" t="s">
        <v>22</v>
      </c>
      <c r="I37" t="s">
        <v>23</v>
      </c>
      <c r="J37">
        <v>4084</v>
      </c>
      <c r="K37">
        <v>2778</v>
      </c>
      <c r="L37">
        <v>5</v>
      </c>
    </row>
    <row r="38" spans="1:12" x14ac:dyDescent="0.3">
      <c r="A38">
        <v>1037</v>
      </c>
      <c r="B38" s="1">
        <v>45656</v>
      </c>
      <c r="C38">
        <v>2024</v>
      </c>
      <c r="D38" t="s">
        <v>47</v>
      </c>
      <c r="E38" t="s">
        <v>24</v>
      </c>
      <c r="F38" t="s">
        <v>32</v>
      </c>
      <c r="G38" t="s">
        <v>33</v>
      </c>
      <c r="H38" t="s">
        <v>34</v>
      </c>
      <c r="I38" t="s">
        <v>23</v>
      </c>
      <c r="J38">
        <v>18194</v>
      </c>
      <c r="K38">
        <v>11493</v>
      </c>
      <c r="L38">
        <v>3</v>
      </c>
    </row>
    <row r="39" spans="1:12" x14ac:dyDescent="0.3">
      <c r="A39">
        <v>1038</v>
      </c>
      <c r="B39" s="1">
        <v>45507</v>
      </c>
      <c r="C39">
        <v>2024</v>
      </c>
      <c r="D39" t="s">
        <v>48</v>
      </c>
      <c r="E39" t="s">
        <v>19</v>
      </c>
      <c r="F39" t="s">
        <v>40</v>
      </c>
      <c r="G39" t="s">
        <v>40</v>
      </c>
      <c r="H39" t="s">
        <v>34</v>
      </c>
      <c r="I39" t="s">
        <v>23</v>
      </c>
      <c r="J39">
        <v>26592</v>
      </c>
      <c r="K39">
        <v>18001</v>
      </c>
      <c r="L39">
        <v>1</v>
      </c>
    </row>
    <row r="40" spans="1:12" x14ac:dyDescent="0.3">
      <c r="A40">
        <v>1039</v>
      </c>
      <c r="B40" s="1">
        <v>45338</v>
      </c>
      <c r="C40">
        <v>2024</v>
      </c>
      <c r="D40" t="s">
        <v>45</v>
      </c>
      <c r="E40" t="s">
        <v>24</v>
      </c>
      <c r="F40" t="s">
        <v>32</v>
      </c>
      <c r="G40" t="s">
        <v>33</v>
      </c>
      <c r="H40" t="s">
        <v>16</v>
      </c>
      <c r="I40" t="s">
        <v>17</v>
      </c>
      <c r="J40">
        <v>67370</v>
      </c>
      <c r="K40">
        <v>52753</v>
      </c>
      <c r="L40">
        <v>2</v>
      </c>
    </row>
    <row r="41" spans="1:12" x14ac:dyDescent="0.3">
      <c r="A41">
        <v>1040</v>
      </c>
      <c r="B41" s="1">
        <v>45551</v>
      </c>
      <c r="C41">
        <v>2024</v>
      </c>
      <c r="D41" t="s">
        <v>42</v>
      </c>
      <c r="E41" t="s">
        <v>19</v>
      </c>
      <c r="F41" t="s">
        <v>20</v>
      </c>
      <c r="G41" t="s">
        <v>21</v>
      </c>
      <c r="H41" t="s">
        <v>16</v>
      </c>
      <c r="I41" t="s">
        <v>17</v>
      </c>
      <c r="J41">
        <v>61750</v>
      </c>
      <c r="K41">
        <v>43237</v>
      </c>
      <c r="L41">
        <v>4</v>
      </c>
    </row>
    <row r="42" spans="1:12" x14ac:dyDescent="0.3">
      <c r="A42">
        <v>1041</v>
      </c>
      <c r="B42" s="1">
        <v>45395</v>
      </c>
      <c r="C42">
        <v>2024</v>
      </c>
      <c r="D42" t="s">
        <v>38</v>
      </c>
      <c r="E42" t="s">
        <v>19</v>
      </c>
      <c r="F42" t="s">
        <v>40</v>
      </c>
      <c r="G42" t="s">
        <v>40</v>
      </c>
      <c r="H42" t="s">
        <v>27</v>
      </c>
      <c r="I42" t="s">
        <v>17</v>
      </c>
      <c r="J42">
        <v>30692</v>
      </c>
      <c r="K42">
        <v>20238</v>
      </c>
      <c r="L42">
        <v>5</v>
      </c>
    </row>
    <row r="43" spans="1:12" x14ac:dyDescent="0.3">
      <c r="A43">
        <v>1042</v>
      </c>
      <c r="B43" s="1">
        <v>45082</v>
      </c>
      <c r="C43">
        <v>2023</v>
      </c>
      <c r="D43" t="s">
        <v>31</v>
      </c>
      <c r="E43" t="s">
        <v>24</v>
      </c>
      <c r="F43" t="s">
        <v>25</v>
      </c>
      <c r="G43" t="s">
        <v>29</v>
      </c>
      <c r="H43" t="s">
        <v>30</v>
      </c>
      <c r="I43" t="s">
        <v>23</v>
      </c>
      <c r="J43">
        <v>8546</v>
      </c>
      <c r="K43">
        <v>5591</v>
      </c>
      <c r="L43">
        <v>5</v>
      </c>
    </row>
    <row r="44" spans="1:12" x14ac:dyDescent="0.3">
      <c r="A44">
        <v>1043</v>
      </c>
      <c r="B44" s="1">
        <v>45006</v>
      </c>
      <c r="C44">
        <v>2023</v>
      </c>
      <c r="D44" t="s">
        <v>49</v>
      </c>
      <c r="E44" t="s">
        <v>13</v>
      </c>
      <c r="F44" t="s">
        <v>14</v>
      </c>
      <c r="G44" t="s">
        <v>15</v>
      </c>
      <c r="H44" t="s">
        <v>27</v>
      </c>
      <c r="I44" t="s">
        <v>17</v>
      </c>
      <c r="J44">
        <v>17192</v>
      </c>
      <c r="K44">
        <v>13894</v>
      </c>
      <c r="L44">
        <v>5</v>
      </c>
    </row>
    <row r="45" spans="1:12" x14ac:dyDescent="0.3">
      <c r="A45">
        <v>1044</v>
      </c>
      <c r="B45" s="1">
        <v>45337</v>
      </c>
      <c r="C45">
        <v>2024</v>
      </c>
      <c r="D45" t="s">
        <v>45</v>
      </c>
      <c r="E45" t="s">
        <v>19</v>
      </c>
      <c r="F45" t="s">
        <v>20</v>
      </c>
      <c r="G45" t="s">
        <v>21</v>
      </c>
      <c r="H45" t="s">
        <v>27</v>
      </c>
      <c r="I45" t="s">
        <v>17</v>
      </c>
      <c r="J45">
        <v>23872</v>
      </c>
      <c r="K45">
        <v>19103</v>
      </c>
      <c r="L45">
        <v>3</v>
      </c>
    </row>
    <row r="46" spans="1:12" x14ac:dyDescent="0.3">
      <c r="A46">
        <v>1045</v>
      </c>
      <c r="B46" s="1">
        <v>45579</v>
      </c>
      <c r="C46">
        <v>2024</v>
      </c>
      <c r="D46" t="s">
        <v>12</v>
      </c>
      <c r="E46" t="s">
        <v>24</v>
      </c>
      <c r="F46" t="s">
        <v>25</v>
      </c>
      <c r="G46" t="s">
        <v>26</v>
      </c>
      <c r="H46" t="s">
        <v>34</v>
      </c>
      <c r="I46" t="s">
        <v>23</v>
      </c>
      <c r="J46">
        <v>38630</v>
      </c>
      <c r="K46">
        <v>32200</v>
      </c>
      <c r="L46">
        <v>1</v>
      </c>
    </row>
    <row r="47" spans="1:12" x14ac:dyDescent="0.3">
      <c r="A47">
        <v>1046</v>
      </c>
      <c r="B47" s="1">
        <v>45021</v>
      </c>
      <c r="C47">
        <v>2023</v>
      </c>
      <c r="D47" t="s">
        <v>38</v>
      </c>
      <c r="E47" t="s">
        <v>19</v>
      </c>
      <c r="F47" t="s">
        <v>20</v>
      </c>
      <c r="G47" t="s">
        <v>21</v>
      </c>
      <c r="H47" t="s">
        <v>41</v>
      </c>
      <c r="I47" t="s">
        <v>23</v>
      </c>
      <c r="J47">
        <v>16797</v>
      </c>
      <c r="K47">
        <v>10648</v>
      </c>
      <c r="L47">
        <v>1</v>
      </c>
    </row>
    <row r="48" spans="1:12" x14ac:dyDescent="0.3">
      <c r="A48">
        <v>1047</v>
      </c>
      <c r="B48" s="1">
        <v>45527</v>
      </c>
      <c r="C48">
        <v>2024</v>
      </c>
      <c r="D48" t="s">
        <v>48</v>
      </c>
      <c r="E48" t="s">
        <v>24</v>
      </c>
      <c r="F48" t="s">
        <v>32</v>
      </c>
      <c r="G48" t="s">
        <v>33</v>
      </c>
      <c r="H48" t="s">
        <v>34</v>
      </c>
      <c r="I48" t="s">
        <v>23</v>
      </c>
      <c r="J48">
        <v>28286</v>
      </c>
      <c r="K48">
        <v>18087</v>
      </c>
      <c r="L48">
        <v>5</v>
      </c>
    </row>
    <row r="49" spans="1:12" x14ac:dyDescent="0.3">
      <c r="A49">
        <v>1048</v>
      </c>
      <c r="B49" s="1">
        <v>45178</v>
      </c>
      <c r="C49">
        <v>2023</v>
      </c>
      <c r="D49" t="s">
        <v>42</v>
      </c>
      <c r="E49" t="s">
        <v>19</v>
      </c>
      <c r="F49" t="s">
        <v>40</v>
      </c>
      <c r="G49" t="s">
        <v>40</v>
      </c>
      <c r="H49" t="s">
        <v>41</v>
      </c>
      <c r="I49" t="s">
        <v>23</v>
      </c>
      <c r="J49">
        <v>8340</v>
      </c>
      <c r="K49">
        <v>6772</v>
      </c>
      <c r="L49">
        <v>4</v>
      </c>
    </row>
    <row r="50" spans="1:12" x14ac:dyDescent="0.3">
      <c r="A50">
        <v>1049</v>
      </c>
      <c r="B50" s="1">
        <v>45533</v>
      </c>
      <c r="C50">
        <v>2024</v>
      </c>
      <c r="D50" t="s">
        <v>48</v>
      </c>
      <c r="E50" t="s">
        <v>19</v>
      </c>
      <c r="F50" t="s">
        <v>40</v>
      </c>
      <c r="G50" t="s">
        <v>40</v>
      </c>
      <c r="H50" t="s">
        <v>16</v>
      </c>
      <c r="I50" t="s">
        <v>17</v>
      </c>
      <c r="J50">
        <v>53830</v>
      </c>
      <c r="K50">
        <v>43280</v>
      </c>
      <c r="L50">
        <v>5</v>
      </c>
    </row>
    <row r="51" spans="1:12" x14ac:dyDescent="0.3">
      <c r="A51">
        <v>1050</v>
      </c>
      <c r="B51" s="1">
        <v>45229</v>
      </c>
      <c r="C51">
        <v>2023</v>
      </c>
      <c r="D51" t="s">
        <v>12</v>
      </c>
      <c r="E51" t="s">
        <v>19</v>
      </c>
      <c r="F51" t="s">
        <v>20</v>
      </c>
      <c r="G51" t="s">
        <v>21</v>
      </c>
      <c r="H51" t="s">
        <v>34</v>
      </c>
      <c r="I51" t="s">
        <v>23</v>
      </c>
      <c r="J51">
        <v>28523</v>
      </c>
      <c r="K51">
        <v>23935</v>
      </c>
      <c r="L51">
        <v>5</v>
      </c>
    </row>
    <row r="52" spans="1:12" x14ac:dyDescent="0.3">
      <c r="A52">
        <v>1051</v>
      </c>
      <c r="B52" s="1">
        <v>45446</v>
      </c>
      <c r="C52">
        <v>2024</v>
      </c>
      <c r="D52" t="s">
        <v>31</v>
      </c>
      <c r="E52" t="s">
        <v>24</v>
      </c>
      <c r="F52" t="s">
        <v>25</v>
      </c>
      <c r="G52" t="s">
        <v>26</v>
      </c>
      <c r="H52" t="s">
        <v>16</v>
      </c>
      <c r="I52" t="s">
        <v>17</v>
      </c>
      <c r="J52">
        <v>50391</v>
      </c>
      <c r="K52">
        <v>34218</v>
      </c>
      <c r="L52">
        <v>4</v>
      </c>
    </row>
    <row r="53" spans="1:12" x14ac:dyDescent="0.3">
      <c r="A53">
        <v>1052</v>
      </c>
      <c r="B53" s="1">
        <v>45260</v>
      </c>
      <c r="C53">
        <v>2023</v>
      </c>
      <c r="D53" t="s">
        <v>39</v>
      </c>
      <c r="E53" t="s">
        <v>13</v>
      </c>
      <c r="F53" t="s">
        <v>36</v>
      </c>
      <c r="G53" t="s">
        <v>37</v>
      </c>
      <c r="H53" t="s">
        <v>22</v>
      </c>
      <c r="I53" t="s">
        <v>23</v>
      </c>
      <c r="J53">
        <v>3222</v>
      </c>
      <c r="K53">
        <v>2473</v>
      </c>
      <c r="L53">
        <v>1</v>
      </c>
    </row>
    <row r="54" spans="1:12" x14ac:dyDescent="0.3">
      <c r="A54">
        <v>1053</v>
      </c>
      <c r="B54" s="1">
        <v>45491</v>
      </c>
      <c r="C54">
        <v>2024</v>
      </c>
      <c r="D54" t="s">
        <v>28</v>
      </c>
      <c r="E54" t="s">
        <v>13</v>
      </c>
      <c r="F54" t="s">
        <v>43</v>
      </c>
      <c r="G54" t="s">
        <v>44</v>
      </c>
      <c r="H54" t="s">
        <v>16</v>
      </c>
      <c r="I54" t="s">
        <v>17</v>
      </c>
      <c r="J54">
        <v>68322</v>
      </c>
      <c r="K54">
        <v>52308</v>
      </c>
      <c r="L54">
        <v>4</v>
      </c>
    </row>
    <row r="55" spans="1:12" x14ac:dyDescent="0.3">
      <c r="A55">
        <v>1054</v>
      </c>
      <c r="B55" s="1">
        <v>44949</v>
      </c>
      <c r="C55">
        <v>2023</v>
      </c>
      <c r="D55" t="s">
        <v>35</v>
      </c>
      <c r="E55" t="s">
        <v>19</v>
      </c>
      <c r="F55" t="s">
        <v>20</v>
      </c>
      <c r="G55" t="s">
        <v>21</v>
      </c>
      <c r="H55" t="s">
        <v>27</v>
      </c>
      <c r="I55" t="s">
        <v>17</v>
      </c>
      <c r="J55">
        <v>27909</v>
      </c>
      <c r="K55">
        <v>18744</v>
      </c>
      <c r="L55">
        <v>1</v>
      </c>
    </row>
    <row r="56" spans="1:12" x14ac:dyDescent="0.3">
      <c r="A56">
        <v>1055</v>
      </c>
      <c r="B56" s="1">
        <v>45168</v>
      </c>
      <c r="C56">
        <v>2023</v>
      </c>
      <c r="D56" t="s">
        <v>48</v>
      </c>
      <c r="E56" t="s">
        <v>19</v>
      </c>
      <c r="F56" t="s">
        <v>40</v>
      </c>
      <c r="G56" t="s">
        <v>40</v>
      </c>
      <c r="H56" t="s">
        <v>41</v>
      </c>
      <c r="I56" t="s">
        <v>23</v>
      </c>
      <c r="J56">
        <v>9352</v>
      </c>
      <c r="K56">
        <v>7145</v>
      </c>
      <c r="L56">
        <v>2</v>
      </c>
    </row>
    <row r="57" spans="1:12" x14ac:dyDescent="0.3">
      <c r="A57">
        <v>1056</v>
      </c>
      <c r="B57" s="1">
        <v>44959</v>
      </c>
      <c r="C57">
        <v>2023</v>
      </c>
      <c r="D57" t="s">
        <v>45</v>
      </c>
      <c r="E57" t="s">
        <v>24</v>
      </c>
      <c r="F57" t="s">
        <v>25</v>
      </c>
      <c r="G57" t="s">
        <v>29</v>
      </c>
      <c r="H57" t="s">
        <v>46</v>
      </c>
      <c r="I57" t="s">
        <v>17</v>
      </c>
      <c r="J57">
        <v>22817</v>
      </c>
      <c r="K57">
        <v>16851</v>
      </c>
      <c r="L57">
        <v>3</v>
      </c>
    </row>
    <row r="58" spans="1:12" x14ac:dyDescent="0.3">
      <c r="A58">
        <v>1057</v>
      </c>
      <c r="B58" s="1">
        <v>45069</v>
      </c>
      <c r="C58">
        <v>2023</v>
      </c>
      <c r="D58" t="s">
        <v>18</v>
      </c>
      <c r="E58" t="s">
        <v>13</v>
      </c>
      <c r="F58" t="s">
        <v>43</v>
      </c>
      <c r="G58" t="s">
        <v>44</v>
      </c>
      <c r="H58" t="s">
        <v>46</v>
      </c>
      <c r="I58" t="s">
        <v>17</v>
      </c>
      <c r="J58">
        <v>16523</v>
      </c>
      <c r="K58">
        <v>13807</v>
      </c>
      <c r="L58">
        <v>5</v>
      </c>
    </row>
    <row r="59" spans="1:12" x14ac:dyDescent="0.3">
      <c r="A59">
        <v>1058</v>
      </c>
      <c r="B59" s="1">
        <v>45262</v>
      </c>
      <c r="C59">
        <v>2023</v>
      </c>
      <c r="D59" t="s">
        <v>47</v>
      </c>
      <c r="E59" t="s">
        <v>24</v>
      </c>
      <c r="F59" t="s">
        <v>25</v>
      </c>
      <c r="G59" t="s">
        <v>29</v>
      </c>
      <c r="H59" t="s">
        <v>30</v>
      </c>
      <c r="I59" t="s">
        <v>23</v>
      </c>
      <c r="J59">
        <v>11558</v>
      </c>
      <c r="K59">
        <v>8761</v>
      </c>
      <c r="L59">
        <v>2</v>
      </c>
    </row>
    <row r="60" spans="1:12" x14ac:dyDescent="0.3">
      <c r="A60">
        <v>1059</v>
      </c>
      <c r="B60" s="1">
        <v>45443</v>
      </c>
      <c r="C60">
        <v>2024</v>
      </c>
      <c r="D60" t="s">
        <v>18</v>
      </c>
      <c r="E60" t="s">
        <v>24</v>
      </c>
      <c r="F60" t="s">
        <v>25</v>
      </c>
      <c r="G60" t="s">
        <v>26</v>
      </c>
      <c r="H60" t="s">
        <v>27</v>
      </c>
      <c r="I60" t="s">
        <v>17</v>
      </c>
      <c r="J60">
        <v>19705</v>
      </c>
      <c r="K60">
        <v>15260</v>
      </c>
      <c r="L60">
        <v>3</v>
      </c>
    </row>
    <row r="61" spans="1:12" x14ac:dyDescent="0.3">
      <c r="A61">
        <v>1060</v>
      </c>
      <c r="B61" s="1">
        <v>45406</v>
      </c>
      <c r="C61">
        <v>2024</v>
      </c>
      <c r="D61" t="s">
        <v>38</v>
      </c>
      <c r="E61" t="s">
        <v>13</v>
      </c>
      <c r="F61" t="s">
        <v>36</v>
      </c>
      <c r="G61" t="s">
        <v>37</v>
      </c>
      <c r="H61" t="s">
        <v>46</v>
      </c>
      <c r="I61" t="s">
        <v>17</v>
      </c>
      <c r="J61">
        <v>19385</v>
      </c>
      <c r="K61">
        <v>11906</v>
      </c>
      <c r="L61">
        <v>2</v>
      </c>
    </row>
    <row r="62" spans="1:12" x14ac:dyDescent="0.3">
      <c r="A62">
        <v>1061</v>
      </c>
      <c r="B62" s="1">
        <v>45491</v>
      </c>
      <c r="C62">
        <v>2024</v>
      </c>
      <c r="D62" t="s">
        <v>28</v>
      </c>
      <c r="E62" t="s">
        <v>13</v>
      </c>
      <c r="F62" t="s">
        <v>43</v>
      </c>
      <c r="G62" t="s">
        <v>44</v>
      </c>
      <c r="H62" t="s">
        <v>30</v>
      </c>
      <c r="I62" t="s">
        <v>23</v>
      </c>
      <c r="J62">
        <v>9598</v>
      </c>
      <c r="K62">
        <v>5938</v>
      </c>
      <c r="L62">
        <v>4</v>
      </c>
    </row>
    <row r="63" spans="1:12" x14ac:dyDescent="0.3">
      <c r="A63">
        <v>1062</v>
      </c>
      <c r="B63" s="1">
        <v>45083</v>
      </c>
      <c r="C63">
        <v>2023</v>
      </c>
      <c r="D63" t="s">
        <v>31</v>
      </c>
      <c r="E63" t="s">
        <v>13</v>
      </c>
      <c r="F63" t="s">
        <v>36</v>
      </c>
      <c r="G63" t="s">
        <v>37</v>
      </c>
      <c r="H63" t="s">
        <v>46</v>
      </c>
      <c r="I63" t="s">
        <v>17</v>
      </c>
      <c r="J63">
        <v>12916</v>
      </c>
      <c r="K63">
        <v>9158</v>
      </c>
      <c r="L63">
        <v>5</v>
      </c>
    </row>
    <row r="64" spans="1:12" x14ac:dyDescent="0.3">
      <c r="A64">
        <v>1063</v>
      </c>
      <c r="B64" s="1">
        <v>45514</v>
      </c>
      <c r="C64">
        <v>2024</v>
      </c>
      <c r="D64" t="s">
        <v>48</v>
      </c>
      <c r="E64" t="s">
        <v>13</v>
      </c>
      <c r="F64" t="s">
        <v>36</v>
      </c>
      <c r="G64" t="s">
        <v>37</v>
      </c>
      <c r="H64" t="s">
        <v>34</v>
      </c>
      <c r="I64" t="s">
        <v>23</v>
      </c>
      <c r="J64">
        <v>26496</v>
      </c>
      <c r="K64">
        <v>16944</v>
      </c>
      <c r="L64">
        <v>4</v>
      </c>
    </row>
    <row r="65" spans="1:12" x14ac:dyDescent="0.3">
      <c r="A65">
        <v>1064</v>
      </c>
      <c r="B65" s="1">
        <v>45413</v>
      </c>
      <c r="C65">
        <v>2024</v>
      </c>
      <c r="D65" t="s">
        <v>18</v>
      </c>
      <c r="E65" t="s">
        <v>19</v>
      </c>
      <c r="F65" t="s">
        <v>40</v>
      </c>
      <c r="G65" t="s">
        <v>40</v>
      </c>
      <c r="H65" t="s">
        <v>41</v>
      </c>
      <c r="I65" t="s">
        <v>23</v>
      </c>
      <c r="J65">
        <v>12233</v>
      </c>
      <c r="K65">
        <v>9466</v>
      </c>
      <c r="L65">
        <v>3</v>
      </c>
    </row>
    <row r="66" spans="1:12" x14ac:dyDescent="0.3">
      <c r="A66">
        <v>1065</v>
      </c>
      <c r="B66" s="1">
        <v>45479</v>
      </c>
      <c r="C66">
        <v>2024</v>
      </c>
      <c r="D66" t="s">
        <v>28</v>
      </c>
      <c r="E66" t="s">
        <v>13</v>
      </c>
      <c r="F66" t="s">
        <v>36</v>
      </c>
      <c r="G66" t="s">
        <v>37</v>
      </c>
      <c r="H66" t="s">
        <v>27</v>
      </c>
      <c r="I66" t="s">
        <v>17</v>
      </c>
      <c r="J66">
        <v>33619</v>
      </c>
      <c r="K66">
        <v>20551</v>
      </c>
      <c r="L66">
        <v>4</v>
      </c>
    </row>
    <row r="67" spans="1:12" x14ac:dyDescent="0.3">
      <c r="A67">
        <v>1066</v>
      </c>
      <c r="B67" s="1">
        <v>45497</v>
      </c>
      <c r="C67">
        <v>2024</v>
      </c>
      <c r="D67" t="s">
        <v>28</v>
      </c>
      <c r="E67" t="s">
        <v>13</v>
      </c>
      <c r="F67" t="s">
        <v>36</v>
      </c>
      <c r="G67" t="s">
        <v>37</v>
      </c>
      <c r="H67" t="s">
        <v>16</v>
      </c>
      <c r="I67" t="s">
        <v>17</v>
      </c>
      <c r="J67">
        <v>62809</v>
      </c>
      <c r="K67">
        <v>43640</v>
      </c>
      <c r="L67">
        <v>3</v>
      </c>
    </row>
    <row r="68" spans="1:12" x14ac:dyDescent="0.3">
      <c r="A68">
        <v>1067</v>
      </c>
      <c r="B68" s="1">
        <v>44973</v>
      </c>
      <c r="C68">
        <v>2023</v>
      </c>
      <c r="D68" t="s">
        <v>45</v>
      </c>
      <c r="E68" t="s">
        <v>13</v>
      </c>
      <c r="F68" t="s">
        <v>43</v>
      </c>
      <c r="G68" t="s">
        <v>44</v>
      </c>
      <c r="H68" t="s">
        <v>41</v>
      </c>
      <c r="I68" t="s">
        <v>23</v>
      </c>
      <c r="J68">
        <v>7277</v>
      </c>
      <c r="K68">
        <v>4837</v>
      </c>
      <c r="L68">
        <v>2</v>
      </c>
    </row>
    <row r="69" spans="1:12" x14ac:dyDescent="0.3">
      <c r="A69">
        <v>1068</v>
      </c>
      <c r="B69" s="1">
        <v>45522</v>
      </c>
      <c r="C69">
        <v>2024</v>
      </c>
      <c r="D69" t="s">
        <v>48</v>
      </c>
      <c r="E69" t="s">
        <v>13</v>
      </c>
      <c r="F69" t="s">
        <v>14</v>
      </c>
      <c r="G69" t="s">
        <v>15</v>
      </c>
      <c r="H69" t="s">
        <v>27</v>
      </c>
      <c r="I69" t="s">
        <v>17</v>
      </c>
      <c r="J69">
        <v>31670</v>
      </c>
      <c r="K69">
        <v>22033</v>
      </c>
      <c r="L69">
        <v>1</v>
      </c>
    </row>
    <row r="70" spans="1:12" x14ac:dyDescent="0.3">
      <c r="A70">
        <v>1069</v>
      </c>
      <c r="B70" s="1">
        <v>45108</v>
      </c>
      <c r="C70">
        <v>2023</v>
      </c>
      <c r="D70" t="s">
        <v>28</v>
      </c>
      <c r="E70" t="s">
        <v>19</v>
      </c>
      <c r="F70" t="s">
        <v>40</v>
      </c>
      <c r="G70" t="s">
        <v>40</v>
      </c>
      <c r="H70" t="s">
        <v>46</v>
      </c>
      <c r="I70" t="s">
        <v>17</v>
      </c>
      <c r="J70">
        <v>29638</v>
      </c>
      <c r="K70">
        <v>23940</v>
      </c>
      <c r="L70">
        <v>3</v>
      </c>
    </row>
    <row r="71" spans="1:12" x14ac:dyDescent="0.3">
      <c r="A71">
        <v>1070</v>
      </c>
      <c r="B71" s="1">
        <v>44943</v>
      </c>
      <c r="C71">
        <v>2023</v>
      </c>
      <c r="D71" t="s">
        <v>35</v>
      </c>
      <c r="E71" t="s">
        <v>24</v>
      </c>
      <c r="F71" t="s">
        <v>25</v>
      </c>
      <c r="G71" t="s">
        <v>26</v>
      </c>
      <c r="H71" t="s">
        <v>30</v>
      </c>
      <c r="I71" t="s">
        <v>23</v>
      </c>
      <c r="J71">
        <v>5569</v>
      </c>
      <c r="K71">
        <v>3551</v>
      </c>
      <c r="L71">
        <v>2</v>
      </c>
    </row>
    <row r="72" spans="1:12" x14ac:dyDescent="0.3">
      <c r="A72">
        <v>1071</v>
      </c>
      <c r="B72" s="1">
        <v>45172</v>
      </c>
      <c r="C72">
        <v>2023</v>
      </c>
      <c r="D72" t="s">
        <v>42</v>
      </c>
      <c r="E72" t="s">
        <v>13</v>
      </c>
      <c r="F72" t="s">
        <v>14</v>
      </c>
      <c r="G72" t="s">
        <v>15</v>
      </c>
      <c r="H72" t="s">
        <v>22</v>
      </c>
      <c r="I72" t="s">
        <v>23</v>
      </c>
      <c r="J72">
        <v>3521</v>
      </c>
      <c r="K72">
        <v>2615</v>
      </c>
      <c r="L72">
        <v>3</v>
      </c>
    </row>
    <row r="73" spans="1:12" x14ac:dyDescent="0.3">
      <c r="A73">
        <v>1072</v>
      </c>
      <c r="B73" s="1">
        <v>45310</v>
      </c>
      <c r="C73">
        <v>2024</v>
      </c>
      <c r="D73" t="s">
        <v>35</v>
      </c>
      <c r="E73" t="s">
        <v>13</v>
      </c>
      <c r="F73" t="s">
        <v>43</v>
      </c>
      <c r="G73" t="s">
        <v>44</v>
      </c>
      <c r="H73" t="s">
        <v>22</v>
      </c>
      <c r="I73" t="s">
        <v>23</v>
      </c>
      <c r="J73">
        <v>7124</v>
      </c>
      <c r="K73">
        <v>5029</v>
      </c>
      <c r="L73">
        <v>3</v>
      </c>
    </row>
    <row r="74" spans="1:12" x14ac:dyDescent="0.3">
      <c r="A74">
        <v>1073</v>
      </c>
      <c r="B74" s="1">
        <v>45362</v>
      </c>
      <c r="C74">
        <v>2024</v>
      </c>
      <c r="D74" t="s">
        <v>49</v>
      </c>
      <c r="E74" t="s">
        <v>13</v>
      </c>
      <c r="F74" t="s">
        <v>43</v>
      </c>
      <c r="G74" t="s">
        <v>44</v>
      </c>
      <c r="H74" t="s">
        <v>16</v>
      </c>
      <c r="I74" t="s">
        <v>17</v>
      </c>
      <c r="J74">
        <v>57825</v>
      </c>
      <c r="K74">
        <v>45228</v>
      </c>
      <c r="L74">
        <v>2</v>
      </c>
    </row>
    <row r="75" spans="1:12" x14ac:dyDescent="0.3">
      <c r="A75">
        <v>1074</v>
      </c>
      <c r="B75" s="1">
        <v>45306</v>
      </c>
      <c r="C75">
        <v>2024</v>
      </c>
      <c r="D75" t="s">
        <v>35</v>
      </c>
      <c r="E75" t="s">
        <v>19</v>
      </c>
      <c r="F75" t="s">
        <v>40</v>
      </c>
      <c r="G75" t="s">
        <v>40</v>
      </c>
      <c r="H75" t="s">
        <v>27</v>
      </c>
      <c r="I75" t="s">
        <v>17</v>
      </c>
      <c r="J75">
        <v>15824</v>
      </c>
      <c r="K75">
        <v>13328</v>
      </c>
      <c r="L75">
        <v>5</v>
      </c>
    </row>
    <row r="76" spans="1:12" x14ac:dyDescent="0.3">
      <c r="A76">
        <v>1075</v>
      </c>
      <c r="B76" s="1">
        <v>45632</v>
      </c>
      <c r="C76">
        <v>2024</v>
      </c>
      <c r="D76" t="s">
        <v>47</v>
      </c>
      <c r="E76" t="s">
        <v>13</v>
      </c>
      <c r="F76" t="s">
        <v>43</v>
      </c>
      <c r="G76" t="s">
        <v>44</v>
      </c>
      <c r="H76" t="s">
        <v>27</v>
      </c>
      <c r="I76" t="s">
        <v>17</v>
      </c>
      <c r="J76">
        <v>19143</v>
      </c>
      <c r="K76">
        <v>14024</v>
      </c>
      <c r="L76">
        <v>4</v>
      </c>
    </row>
    <row r="77" spans="1:12" x14ac:dyDescent="0.3">
      <c r="A77">
        <v>1076</v>
      </c>
      <c r="B77" s="1">
        <v>45369</v>
      </c>
      <c r="C77">
        <v>2024</v>
      </c>
      <c r="D77" t="s">
        <v>49</v>
      </c>
      <c r="E77" t="s">
        <v>19</v>
      </c>
      <c r="F77" t="s">
        <v>40</v>
      </c>
      <c r="G77" t="s">
        <v>40</v>
      </c>
      <c r="H77" t="s">
        <v>27</v>
      </c>
      <c r="I77" t="s">
        <v>17</v>
      </c>
      <c r="J77">
        <v>33577</v>
      </c>
      <c r="K77">
        <v>22414</v>
      </c>
      <c r="L77">
        <v>3</v>
      </c>
    </row>
    <row r="78" spans="1:12" x14ac:dyDescent="0.3">
      <c r="A78">
        <v>1077</v>
      </c>
      <c r="B78" s="1">
        <v>45631</v>
      </c>
      <c r="C78">
        <v>2024</v>
      </c>
      <c r="D78" t="s">
        <v>47</v>
      </c>
      <c r="E78" t="s">
        <v>24</v>
      </c>
      <c r="F78" t="s">
        <v>25</v>
      </c>
      <c r="G78" t="s">
        <v>29</v>
      </c>
      <c r="H78" t="s">
        <v>46</v>
      </c>
      <c r="I78" t="s">
        <v>17</v>
      </c>
      <c r="J78">
        <v>14029</v>
      </c>
      <c r="K78">
        <v>11183</v>
      </c>
      <c r="L78">
        <v>4</v>
      </c>
    </row>
    <row r="79" spans="1:12" x14ac:dyDescent="0.3">
      <c r="A79">
        <v>1078</v>
      </c>
      <c r="B79" s="1">
        <v>45259</v>
      </c>
      <c r="C79">
        <v>2023</v>
      </c>
      <c r="D79" t="s">
        <v>39</v>
      </c>
      <c r="E79" t="s">
        <v>24</v>
      </c>
      <c r="F79" t="s">
        <v>25</v>
      </c>
      <c r="G79" t="s">
        <v>29</v>
      </c>
      <c r="H79" t="s">
        <v>22</v>
      </c>
      <c r="I79" t="s">
        <v>23</v>
      </c>
      <c r="J79">
        <v>9232</v>
      </c>
      <c r="K79">
        <v>7356</v>
      </c>
      <c r="L79">
        <v>5</v>
      </c>
    </row>
    <row r="80" spans="1:12" x14ac:dyDescent="0.3">
      <c r="A80">
        <v>1079</v>
      </c>
      <c r="B80" s="1">
        <v>45583</v>
      </c>
      <c r="C80">
        <v>2024</v>
      </c>
      <c r="D80" t="s">
        <v>12</v>
      </c>
      <c r="E80" t="s">
        <v>19</v>
      </c>
      <c r="F80" t="s">
        <v>20</v>
      </c>
      <c r="G80" t="s">
        <v>21</v>
      </c>
      <c r="H80" t="s">
        <v>16</v>
      </c>
      <c r="I80" t="s">
        <v>17</v>
      </c>
      <c r="J80">
        <v>41827</v>
      </c>
      <c r="K80">
        <v>33366</v>
      </c>
      <c r="L80">
        <v>1</v>
      </c>
    </row>
    <row r="81" spans="1:12" x14ac:dyDescent="0.3">
      <c r="A81">
        <v>1080</v>
      </c>
      <c r="B81" s="1">
        <v>45610</v>
      </c>
      <c r="C81">
        <v>2024</v>
      </c>
      <c r="D81" t="s">
        <v>39</v>
      </c>
      <c r="E81" t="s">
        <v>24</v>
      </c>
      <c r="F81" t="s">
        <v>25</v>
      </c>
      <c r="G81" t="s">
        <v>26</v>
      </c>
      <c r="H81" t="s">
        <v>34</v>
      </c>
      <c r="I81" t="s">
        <v>23</v>
      </c>
      <c r="J81">
        <v>23662</v>
      </c>
      <c r="K81">
        <v>17187</v>
      </c>
      <c r="L81">
        <v>3</v>
      </c>
    </row>
    <row r="82" spans="1:12" x14ac:dyDescent="0.3">
      <c r="A82">
        <v>1081</v>
      </c>
      <c r="B82" s="1">
        <v>45568</v>
      </c>
      <c r="C82">
        <v>2024</v>
      </c>
      <c r="D82" t="s">
        <v>12</v>
      </c>
      <c r="E82" t="s">
        <v>13</v>
      </c>
      <c r="F82" t="s">
        <v>14</v>
      </c>
      <c r="G82" t="s">
        <v>15</v>
      </c>
      <c r="H82" t="s">
        <v>41</v>
      </c>
      <c r="I82" t="s">
        <v>23</v>
      </c>
      <c r="J82">
        <v>7440</v>
      </c>
      <c r="K82">
        <v>5968</v>
      </c>
      <c r="L82">
        <v>5</v>
      </c>
    </row>
    <row r="83" spans="1:12" x14ac:dyDescent="0.3">
      <c r="A83">
        <v>1082</v>
      </c>
      <c r="B83" s="1">
        <v>45468</v>
      </c>
      <c r="C83">
        <v>2024</v>
      </c>
      <c r="D83" t="s">
        <v>31</v>
      </c>
      <c r="E83" t="s">
        <v>24</v>
      </c>
      <c r="F83" t="s">
        <v>32</v>
      </c>
      <c r="G83" t="s">
        <v>33</v>
      </c>
      <c r="H83" t="s">
        <v>41</v>
      </c>
      <c r="I83" t="s">
        <v>23</v>
      </c>
      <c r="J83">
        <v>11407</v>
      </c>
      <c r="K83">
        <v>7904</v>
      </c>
      <c r="L83">
        <v>5</v>
      </c>
    </row>
    <row r="84" spans="1:12" x14ac:dyDescent="0.3">
      <c r="A84">
        <v>1083</v>
      </c>
      <c r="B84" s="1">
        <v>44927</v>
      </c>
      <c r="C84">
        <v>2023</v>
      </c>
      <c r="D84" t="s">
        <v>35</v>
      </c>
      <c r="E84" t="s">
        <v>19</v>
      </c>
      <c r="F84" t="s">
        <v>40</v>
      </c>
      <c r="G84" t="s">
        <v>40</v>
      </c>
      <c r="H84" t="s">
        <v>16</v>
      </c>
      <c r="I84" t="s">
        <v>17</v>
      </c>
      <c r="J84">
        <v>58203</v>
      </c>
      <c r="K84">
        <v>38904</v>
      </c>
      <c r="L84">
        <v>3</v>
      </c>
    </row>
    <row r="85" spans="1:12" x14ac:dyDescent="0.3">
      <c r="A85">
        <v>1084</v>
      </c>
      <c r="B85" s="1">
        <v>45163</v>
      </c>
      <c r="C85">
        <v>2023</v>
      </c>
      <c r="D85" t="s">
        <v>48</v>
      </c>
      <c r="E85" t="s">
        <v>13</v>
      </c>
      <c r="F85" t="s">
        <v>43</v>
      </c>
      <c r="G85" t="s">
        <v>44</v>
      </c>
      <c r="H85" t="s">
        <v>16</v>
      </c>
      <c r="I85" t="s">
        <v>17</v>
      </c>
      <c r="J85">
        <v>51379</v>
      </c>
      <c r="K85">
        <v>38003</v>
      </c>
      <c r="L85">
        <v>2</v>
      </c>
    </row>
    <row r="86" spans="1:12" x14ac:dyDescent="0.3">
      <c r="A86">
        <v>1085</v>
      </c>
      <c r="B86" s="1">
        <v>45010</v>
      </c>
      <c r="C86">
        <v>2023</v>
      </c>
      <c r="D86" t="s">
        <v>49</v>
      </c>
      <c r="E86" t="s">
        <v>19</v>
      </c>
      <c r="F86" t="s">
        <v>20</v>
      </c>
      <c r="G86" t="s">
        <v>21</v>
      </c>
      <c r="H86" t="s">
        <v>46</v>
      </c>
      <c r="I86" t="s">
        <v>17</v>
      </c>
      <c r="J86">
        <v>13996</v>
      </c>
      <c r="K86">
        <v>9427</v>
      </c>
      <c r="L86">
        <v>2</v>
      </c>
    </row>
    <row r="87" spans="1:12" x14ac:dyDescent="0.3">
      <c r="A87">
        <v>1086</v>
      </c>
      <c r="B87" s="1">
        <v>45125</v>
      </c>
      <c r="C87">
        <v>2023</v>
      </c>
      <c r="D87" t="s">
        <v>28</v>
      </c>
      <c r="E87" t="s">
        <v>13</v>
      </c>
      <c r="F87" t="s">
        <v>14</v>
      </c>
      <c r="G87" t="s">
        <v>15</v>
      </c>
      <c r="H87" t="s">
        <v>46</v>
      </c>
      <c r="I87" t="s">
        <v>17</v>
      </c>
      <c r="J87">
        <v>14445</v>
      </c>
      <c r="K87">
        <v>10398</v>
      </c>
      <c r="L87">
        <v>3</v>
      </c>
    </row>
    <row r="88" spans="1:12" x14ac:dyDescent="0.3">
      <c r="A88">
        <v>1087</v>
      </c>
      <c r="B88" s="1">
        <v>45594</v>
      </c>
      <c r="C88">
        <v>2024</v>
      </c>
      <c r="D88" t="s">
        <v>12</v>
      </c>
      <c r="E88" t="s">
        <v>24</v>
      </c>
      <c r="F88" t="s">
        <v>25</v>
      </c>
      <c r="G88" t="s">
        <v>26</v>
      </c>
      <c r="H88" t="s">
        <v>16</v>
      </c>
      <c r="I88" t="s">
        <v>17</v>
      </c>
      <c r="J88">
        <v>46687</v>
      </c>
      <c r="K88">
        <v>36649</v>
      </c>
      <c r="L88">
        <v>1</v>
      </c>
    </row>
    <row r="89" spans="1:12" x14ac:dyDescent="0.3">
      <c r="A89">
        <v>1088</v>
      </c>
      <c r="B89" s="1">
        <v>45210</v>
      </c>
      <c r="C89">
        <v>2023</v>
      </c>
      <c r="D89" t="s">
        <v>12</v>
      </c>
      <c r="E89" t="s">
        <v>13</v>
      </c>
      <c r="F89" t="s">
        <v>14</v>
      </c>
      <c r="G89" t="s">
        <v>15</v>
      </c>
      <c r="H89" t="s">
        <v>27</v>
      </c>
      <c r="I89" t="s">
        <v>17</v>
      </c>
      <c r="J89">
        <v>15815</v>
      </c>
      <c r="K89">
        <v>11008</v>
      </c>
      <c r="L89">
        <v>5</v>
      </c>
    </row>
    <row r="90" spans="1:12" x14ac:dyDescent="0.3">
      <c r="A90">
        <v>1089</v>
      </c>
      <c r="B90" s="1">
        <v>45291</v>
      </c>
      <c r="C90">
        <v>2023</v>
      </c>
      <c r="D90" t="s">
        <v>47</v>
      </c>
      <c r="E90" t="s">
        <v>24</v>
      </c>
      <c r="F90" t="s">
        <v>25</v>
      </c>
      <c r="G90" t="s">
        <v>26</v>
      </c>
      <c r="H90" t="s">
        <v>27</v>
      </c>
      <c r="I90" t="s">
        <v>17</v>
      </c>
      <c r="J90">
        <v>29468</v>
      </c>
      <c r="K90">
        <v>18061</v>
      </c>
      <c r="L90">
        <v>4</v>
      </c>
    </row>
    <row r="91" spans="1:12" x14ac:dyDescent="0.3">
      <c r="A91">
        <v>1090</v>
      </c>
      <c r="B91" s="1">
        <v>45299</v>
      </c>
      <c r="C91">
        <v>2024</v>
      </c>
      <c r="D91" t="s">
        <v>35</v>
      </c>
      <c r="E91" t="s">
        <v>24</v>
      </c>
      <c r="F91" t="s">
        <v>25</v>
      </c>
      <c r="G91" t="s">
        <v>29</v>
      </c>
      <c r="H91" t="s">
        <v>16</v>
      </c>
      <c r="I91" t="s">
        <v>17</v>
      </c>
      <c r="J91">
        <v>52628</v>
      </c>
      <c r="K91">
        <v>33170</v>
      </c>
      <c r="L91">
        <v>5</v>
      </c>
    </row>
    <row r="92" spans="1:12" x14ac:dyDescent="0.3">
      <c r="A92">
        <v>1091</v>
      </c>
      <c r="B92" s="1">
        <v>45635</v>
      </c>
      <c r="C92">
        <v>2024</v>
      </c>
      <c r="D92" t="s">
        <v>47</v>
      </c>
      <c r="E92" t="s">
        <v>13</v>
      </c>
      <c r="F92" t="s">
        <v>36</v>
      </c>
      <c r="G92" t="s">
        <v>37</v>
      </c>
      <c r="H92" t="s">
        <v>46</v>
      </c>
      <c r="I92" t="s">
        <v>17</v>
      </c>
      <c r="J92">
        <v>12527</v>
      </c>
      <c r="K92">
        <v>8324</v>
      </c>
      <c r="L92">
        <v>2</v>
      </c>
    </row>
    <row r="93" spans="1:12" x14ac:dyDescent="0.3">
      <c r="A93">
        <v>1092</v>
      </c>
      <c r="B93" s="1">
        <v>45339</v>
      </c>
      <c r="C93">
        <v>2024</v>
      </c>
      <c r="D93" t="s">
        <v>45</v>
      </c>
      <c r="E93" t="s">
        <v>13</v>
      </c>
      <c r="F93" t="s">
        <v>36</v>
      </c>
      <c r="G93" t="s">
        <v>37</v>
      </c>
      <c r="H93" t="s">
        <v>16</v>
      </c>
      <c r="I93" t="s">
        <v>17</v>
      </c>
      <c r="J93">
        <v>54948</v>
      </c>
      <c r="K93">
        <v>46345</v>
      </c>
      <c r="L93">
        <v>4</v>
      </c>
    </row>
    <row r="94" spans="1:12" x14ac:dyDescent="0.3">
      <c r="A94">
        <v>1093</v>
      </c>
      <c r="B94" s="1">
        <v>45258</v>
      </c>
      <c r="C94">
        <v>2023</v>
      </c>
      <c r="D94" t="s">
        <v>39</v>
      </c>
      <c r="E94" t="s">
        <v>24</v>
      </c>
      <c r="F94" t="s">
        <v>25</v>
      </c>
      <c r="G94" t="s">
        <v>26</v>
      </c>
      <c r="H94" t="s">
        <v>46</v>
      </c>
      <c r="I94" t="s">
        <v>17</v>
      </c>
      <c r="J94">
        <v>16851</v>
      </c>
      <c r="K94">
        <v>12034</v>
      </c>
      <c r="L94">
        <v>4</v>
      </c>
    </row>
    <row r="95" spans="1:12" x14ac:dyDescent="0.3">
      <c r="A95">
        <v>1094</v>
      </c>
      <c r="B95" s="1">
        <v>45439</v>
      </c>
      <c r="C95">
        <v>2024</v>
      </c>
      <c r="D95" t="s">
        <v>18</v>
      </c>
      <c r="E95" t="s">
        <v>19</v>
      </c>
      <c r="F95" t="s">
        <v>20</v>
      </c>
      <c r="G95" t="s">
        <v>21</v>
      </c>
      <c r="H95" t="s">
        <v>46</v>
      </c>
      <c r="I95" t="s">
        <v>17</v>
      </c>
      <c r="J95">
        <v>13011</v>
      </c>
      <c r="K95">
        <v>9319</v>
      </c>
      <c r="L95">
        <v>5</v>
      </c>
    </row>
    <row r="96" spans="1:12" x14ac:dyDescent="0.3">
      <c r="A96">
        <v>1095</v>
      </c>
      <c r="B96" s="1">
        <v>45620</v>
      </c>
      <c r="C96">
        <v>2024</v>
      </c>
      <c r="D96" t="s">
        <v>39</v>
      </c>
      <c r="E96" t="s">
        <v>24</v>
      </c>
      <c r="F96" t="s">
        <v>32</v>
      </c>
      <c r="G96" t="s">
        <v>33</v>
      </c>
      <c r="H96" t="s">
        <v>22</v>
      </c>
      <c r="I96" t="s">
        <v>23</v>
      </c>
      <c r="J96">
        <v>4358</v>
      </c>
      <c r="K96">
        <v>3434</v>
      </c>
      <c r="L96">
        <v>5</v>
      </c>
    </row>
    <row r="97" spans="1:12" x14ac:dyDescent="0.3">
      <c r="A97">
        <v>1096</v>
      </c>
      <c r="B97" s="1">
        <v>45101</v>
      </c>
      <c r="C97">
        <v>2023</v>
      </c>
      <c r="D97" t="s">
        <v>31</v>
      </c>
      <c r="E97" t="s">
        <v>24</v>
      </c>
      <c r="F97" t="s">
        <v>25</v>
      </c>
      <c r="G97" t="s">
        <v>29</v>
      </c>
      <c r="H97" t="s">
        <v>30</v>
      </c>
      <c r="I97" t="s">
        <v>23</v>
      </c>
      <c r="J97">
        <v>9809</v>
      </c>
      <c r="K97">
        <v>7796</v>
      </c>
      <c r="L97">
        <v>5</v>
      </c>
    </row>
    <row r="98" spans="1:12" x14ac:dyDescent="0.3">
      <c r="A98">
        <v>1097</v>
      </c>
      <c r="B98" s="1">
        <v>45577</v>
      </c>
      <c r="C98">
        <v>2024</v>
      </c>
      <c r="D98" t="s">
        <v>12</v>
      </c>
      <c r="E98" t="s">
        <v>24</v>
      </c>
      <c r="F98" t="s">
        <v>25</v>
      </c>
      <c r="G98" t="s">
        <v>26</v>
      </c>
      <c r="H98" t="s">
        <v>30</v>
      </c>
      <c r="I98" t="s">
        <v>23</v>
      </c>
      <c r="J98">
        <v>8990</v>
      </c>
      <c r="K98">
        <v>5882</v>
      </c>
      <c r="L98">
        <v>5</v>
      </c>
    </row>
    <row r="99" spans="1:12" x14ac:dyDescent="0.3">
      <c r="A99">
        <v>1098</v>
      </c>
      <c r="B99" s="1">
        <v>45077</v>
      </c>
      <c r="C99">
        <v>2023</v>
      </c>
      <c r="D99" t="s">
        <v>18</v>
      </c>
      <c r="E99" t="s">
        <v>13</v>
      </c>
      <c r="F99" t="s">
        <v>43</v>
      </c>
      <c r="G99" t="s">
        <v>44</v>
      </c>
      <c r="H99" t="s">
        <v>41</v>
      </c>
      <c r="I99" t="s">
        <v>23</v>
      </c>
      <c r="J99">
        <v>19649</v>
      </c>
      <c r="K99">
        <v>13030</v>
      </c>
      <c r="L99">
        <v>4</v>
      </c>
    </row>
    <row r="100" spans="1:12" x14ac:dyDescent="0.3">
      <c r="A100">
        <v>1099</v>
      </c>
      <c r="B100" s="1">
        <v>44994</v>
      </c>
      <c r="C100">
        <v>2023</v>
      </c>
      <c r="D100" t="s">
        <v>49</v>
      </c>
      <c r="E100" t="s">
        <v>24</v>
      </c>
      <c r="F100" t="s">
        <v>25</v>
      </c>
      <c r="G100" t="s">
        <v>29</v>
      </c>
      <c r="H100" t="s">
        <v>22</v>
      </c>
      <c r="I100" t="s">
        <v>23</v>
      </c>
      <c r="J100">
        <v>8768</v>
      </c>
      <c r="K100">
        <v>5694</v>
      </c>
      <c r="L100">
        <v>2</v>
      </c>
    </row>
    <row r="101" spans="1:12" x14ac:dyDescent="0.3">
      <c r="A101">
        <v>1100</v>
      </c>
      <c r="B101" s="1">
        <v>45108</v>
      </c>
      <c r="C101">
        <v>2023</v>
      </c>
      <c r="D101" t="s">
        <v>28</v>
      </c>
      <c r="E101" t="s">
        <v>19</v>
      </c>
      <c r="F101" t="s">
        <v>40</v>
      </c>
      <c r="G101" t="s">
        <v>40</v>
      </c>
      <c r="H101" t="s">
        <v>46</v>
      </c>
      <c r="I101" t="s">
        <v>17</v>
      </c>
      <c r="J101">
        <v>19732</v>
      </c>
      <c r="K101">
        <v>15276</v>
      </c>
      <c r="L101">
        <v>5</v>
      </c>
    </row>
    <row r="102" spans="1:12" x14ac:dyDescent="0.3">
      <c r="A102">
        <v>1101</v>
      </c>
      <c r="B102" s="1">
        <v>45650</v>
      </c>
      <c r="C102">
        <v>2024</v>
      </c>
      <c r="D102" t="s">
        <v>47</v>
      </c>
      <c r="E102" t="s">
        <v>19</v>
      </c>
      <c r="F102" t="s">
        <v>20</v>
      </c>
      <c r="G102" t="s">
        <v>21</v>
      </c>
      <c r="H102" t="s">
        <v>27</v>
      </c>
      <c r="I102" t="s">
        <v>17</v>
      </c>
      <c r="J102">
        <v>34152</v>
      </c>
      <c r="K102">
        <v>25391</v>
      </c>
      <c r="L102">
        <v>3</v>
      </c>
    </row>
    <row r="103" spans="1:12" x14ac:dyDescent="0.3">
      <c r="A103">
        <v>1102</v>
      </c>
      <c r="B103" s="1">
        <v>45271</v>
      </c>
      <c r="C103">
        <v>2023</v>
      </c>
      <c r="D103" t="s">
        <v>47</v>
      </c>
      <c r="E103" t="s">
        <v>19</v>
      </c>
      <c r="F103" t="s">
        <v>40</v>
      </c>
      <c r="G103" t="s">
        <v>40</v>
      </c>
      <c r="H103" t="s">
        <v>16</v>
      </c>
      <c r="I103" t="s">
        <v>17</v>
      </c>
      <c r="J103">
        <v>40641</v>
      </c>
      <c r="K103">
        <v>32938</v>
      </c>
      <c r="L103">
        <v>4</v>
      </c>
    </row>
    <row r="104" spans="1:12" x14ac:dyDescent="0.3">
      <c r="A104">
        <v>1103</v>
      </c>
      <c r="B104" s="1">
        <v>45642</v>
      </c>
      <c r="C104">
        <v>2024</v>
      </c>
      <c r="D104" t="s">
        <v>47</v>
      </c>
      <c r="E104" t="s">
        <v>13</v>
      </c>
      <c r="F104" t="s">
        <v>36</v>
      </c>
      <c r="G104" t="s">
        <v>37</v>
      </c>
      <c r="H104" t="s">
        <v>30</v>
      </c>
      <c r="I104" t="s">
        <v>23</v>
      </c>
      <c r="J104">
        <v>14869</v>
      </c>
      <c r="K104">
        <v>9427</v>
      </c>
      <c r="L104">
        <v>5</v>
      </c>
    </row>
    <row r="105" spans="1:12" x14ac:dyDescent="0.3">
      <c r="A105">
        <v>1104</v>
      </c>
      <c r="B105" s="1">
        <v>45571</v>
      </c>
      <c r="C105">
        <v>2024</v>
      </c>
      <c r="D105" t="s">
        <v>12</v>
      </c>
      <c r="E105" t="s">
        <v>13</v>
      </c>
      <c r="F105" t="s">
        <v>43</v>
      </c>
      <c r="G105" t="s">
        <v>44</v>
      </c>
      <c r="H105" t="s">
        <v>16</v>
      </c>
      <c r="I105" t="s">
        <v>17</v>
      </c>
      <c r="J105">
        <v>55265</v>
      </c>
      <c r="K105">
        <v>37998</v>
      </c>
      <c r="L105">
        <v>2</v>
      </c>
    </row>
    <row r="106" spans="1:12" x14ac:dyDescent="0.3">
      <c r="A106">
        <v>1105</v>
      </c>
      <c r="B106" s="1">
        <v>45508</v>
      </c>
      <c r="C106">
        <v>2024</v>
      </c>
      <c r="D106" t="s">
        <v>48</v>
      </c>
      <c r="E106" t="s">
        <v>19</v>
      </c>
      <c r="F106" t="s">
        <v>20</v>
      </c>
      <c r="G106" t="s">
        <v>21</v>
      </c>
      <c r="H106" t="s">
        <v>27</v>
      </c>
      <c r="I106" t="s">
        <v>17</v>
      </c>
      <c r="J106">
        <v>31202</v>
      </c>
      <c r="K106">
        <v>25406</v>
      </c>
      <c r="L106">
        <v>3</v>
      </c>
    </row>
    <row r="107" spans="1:12" x14ac:dyDescent="0.3">
      <c r="A107">
        <v>1106</v>
      </c>
      <c r="B107" s="1">
        <v>45498</v>
      </c>
      <c r="C107">
        <v>2024</v>
      </c>
      <c r="D107" t="s">
        <v>28</v>
      </c>
      <c r="E107" t="s">
        <v>19</v>
      </c>
      <c r="F107" t="s">
        <v>40</v>
      </c>
      <c r="G107" t="s">
        <v>40</v>
      </c>
      <c r="H107" t="s">
        <v>34</v>
      </c>
      <c r="I107" t="s">
        <v>23</v>
      </c>
      <c r="J107">
        <v>20985</v>
      </c>
      <c r="K107">
        <v>15474</v>
      </c>
      <c r="L107">
        <v>1</v>
      </c>
    </row>
    <row r="108" spans="1:12" x14ac:dyDescent="0.3">
      <c r="A108">
        <v>1107</v>
      </c>
      <c r="B108" s="1">
        <v>45635</v>
      </c>
      <c r="C108">
        <v>2024</v>
      </c>
      <c r="D108" t="s">
        <v>47</v>
      </c>
      <c r="E108" t="s">
        <v>19</v>
      </c>
      <c r="F108" t="s">
        <v>20</v>
      </c>
      <c r="G108" t="s">
        <v>21</v>
      </c>
      <c r="H108" t="s">
        <v>30</v>
      </c>
      <c r="I108" t="s">
        <v>23</v>
      </c>
      <c r="J108">
        <v>12532</v>
      </c>
      <c r="K108">
        <v>9709</v>
      </c>
      <c r="L108">
        <v>4</v>
      </c>
    </row>
    <row r="109" spans="1:12" x14ac:dyDescent="0.3">
      <c r="A109">
        <v>1108</v>
      </c>
      <c r="B109" s="1">
        <v>45170</v>
      </c>
      <c r="C109">
        <v>2023</v>
      </c>
      <c r="D109" t="s">
        <v>42</v>
      </c>
      <c r="E109" t="s">
        <v>13</v>
      </c>
      <c r="F109" t="s">
        <v>43</v>
      </c>
      <c r="G109" t="s">
        <v>44</v>
      </c>
      <c r="H109" t="s">
        <v>30</v>
      </c>
      <c r="I109" t="s">
        <v>23</v>
      </c>
      <c r="J109">
        <v>14154</v>
      </c>
      <c r="K109">
        <v>11036</v>
      </c>
      <c r="L109">
        <v>1</v>
      </c>
    </row>
    <row r="110" spans="1:12" x14ac:dyDescent="0.3">
      <c r="A110">
        <v>1109</v>
      </c>
      <c r="B110" s="1">
        <v>44981</v>
      </c>
      <c r="C110">
        <v>2023</v>
      </c>
      <c r="D110" t="s">
        <v>45</v>
      </c>
      <c r="E110" t="s">
        <v>19</v>
      </c>
      <c r="F110" t="s">
        <v>20</v>
      </c>
      <c r="G110" t="s">
        <v>21</v>
      </c>
      <c r="H110" t="s">
        <v>27</v>
      </c>
      <c r="I110" t="s">
        <v>17</v>
      </c>
      <c r="J110">
        <v>25661</v>
      </c>
      <c r="K110">
        <v>16624</v>
      </c>
      <c r="L110">
        <v>4</v>
      </c>
    </row>
    <row r="111" spans="1:12" x14ac:dyDescent="0.3">
      <c r="A111">
        <v>1110</v>
      </c>
      <c r="B111" s="1">
        <v>44976</v>
      </c>
      <c r="C111">
        <v>2023</v>
      </c>
      <c r="D111" t="s">
        <v>45</v>
      </c>
      <c r="E111" t="s">
        <v>19</v>
      </c>
      <c r="F111" t="s">
        <v>20</v>
      </c>
      <c r="G111" t="s">
        <v>21</v>
      </c>
      <c r="H111" t="s">
        <v>46</v>
      </c>
      <c r="I111" t="s">
        <v>17</v>
      </c>
      <c r="J111">
        <v>25706</v>
      </c>
      <c r="K111">
        <v>20892</v>
      </c>
      <c r="L111">
        <v>4</v>
      </c>
    </row>
    <row r="112" spans="1:12" x14ac:dyDescent="0.3">
      <c r="A112">
        <v>1111</v>
      </c>
      <c r="B112" s="1">
        <v>45401</v>
      </c>
      <c r="C112">
        <v>2024</v>
      </c>
      <c r="D112" t="s">
        <v>38</v>
      </c>
      <c r="E112" t="s">
        <v>13</v>
      </c>
      <c r="F112" t="s">
        <v>36</v>
      </c>
      <c r="G112" t="s">
        <v>37</v>
      </c>
      <c r="H112" t="s">
        <v>34</v>
      </c>
      <c r="I112" t="s">
        <v>23</v>
      </c>
      <c r="J112">
        <v>35697</v>
      </c>
      <c r="K112">
        <v>23434</v>
      </c>
      <c r="L112">
        <v>2</v>
      </c>
    </row>
    <row r="113" spans="1:12" x14ac:dyDescent="0.3">
      <c r="A113">
        <v>1112</v>
      </c>
      <c r="B113" s="1">
        <v>45092</v>
      </c>
      <c r="C113">
        <v>2023</v>
      </c>
      <c r="D113" t="s">
        <v>31</v>
      </c>
      <c r="E113" t="s">
        <v>24</v>
      </c>
      <c r="F113" t="s">
        <v>25</v>
      </c>
      <c r="G113" t="s">
        <v>26</v>
      </c>
      <c r="H113" t="s">
        <v>41</v>
      </c>
      <c r="I113" t="s">
        <v>23</v>
      </c>
      <c r="J113">
        <v>15361</v>
      </c>
      <c r="K113">
        <v>11703</v>
      </c>
      <c r="L113">
        <v>4</v>
      </c>
    </row>
    <row r="114" spans="1:12" x14ac:dyDescent="0.3">
      <c r="A114">
        <v>1113</v>
      </c>
      <c r="B114" s="1">
        <v>45439</v>
      </c>
      <c r="C114">
        <v>2024</v>
      </c>
      <c r="D114" t="s">
        <v>18</v>
      </c>
      <c r="E114" t="s">
        <v>24</v>
      </c>
      <c r="F114" t="s">
        <v>32</v>
      </c>
      <c r="G114" t="s">
        <v>33</v>
      </c>
      <c r="H114" t="s">
        <v>41</v>
      </c>
      <c r="I114" t="s">
        <v>23</v>
      </c>
      <c r="J114">
        <v>9065</v>
      </c>
      <c r="K114">
        <v>6266</v>
      </c>
      <c r="L114">
        <v>5</v>
      </c>
    </row>
    <row r="115" spans="1:12" x14ac:dyDescent="0.3">
      <c r="A115">
        <v>1114</v>
      </c>
      <c r="B115" s="1">
        <v>45503</v>
      </c>
      <c r="C115">
        <v>2024</v>
      </c>
      <c r="D115" t="s">
        <v>28</v>
      </c>
      <c r="E115" t="s">
        <v>13</v>
      </c>
      <c r="F115" t="s">
        <v>14</v>
      </c>
      <c r="G115" t="s">
        <v>15</v>
      </c>
      <c r="H115" t="s">
        <v>16</v>
      </c>
      <c r="I115" t="s">
        <v>17</v>
      </c>
      <c r="J115">
        <v>45179</v>
      </c>
      <c r="K115">
        <v>30603</v>
      </c>
      <c r="L115">
        <v>5</v>
      </c>
    </row>
    <row r="116" spans="1:12" x14ac:dyDescent="0.3">
      <c r="A116">
        <v>1115</v>
      </c>
      <c r="B116" s="1">
        <v>45580</v>
      </c>
      <c r="C116">
        <v>2024</v>
      </c>
      <c r="D116" t="s">
        <v>12</v>
      </c>
      <c r="E116" t="s">
        <v>13</v>
      </c>
      <c r="F116" t="s">
        <v>36</v>
      </c>
      <c r="G116" t="s">
        <v>37</v>
      </c>
      <c r="H116" t="s">
        <v>41</v>
      </c>
      <c r="I116" t="s">
        <v>23</v>
      </c>
      <c r="J116">
        <v>8692</v>
      </c>
      <c r="K116">
        <v>6229</v>
      </c>
      <c r="L116">
        <v>5</v>
      </c>
    </row>
    <row r="117" spans="1:12" x14ac:dyDescent="0.3">
      <c r="A117">
        <v>1116</v>
      </c>
      <c r="B117" s="1">
        <v>45646</v>
      </c>
      <c r="C117">
        <v>2024</v>
      </c>
      <c r="D117" t="s">
        <v>47</v>
      </c>
      <c r="E117" t="s">
        <v>19</v>
      </c>
      <c r="F117" t="s">
        <v>40</v>
      </c>
      <c r="G117" t="s">
        <v>40</v>
      </c>
      <c r="H117" t="s">
        <v>30</v>
      </c>
      <c r="I117" t="s">
        <v>23</v>
      </c>
      <c r="J117">
        <v>10107</v>
      </c>
      <c r="K117">
        <v>8201</v>
      </c>
      <c r="L117">
        <v>4</v>
      </c>
    </row>
    <row r="118" spans="1:12" x14ac:dyDescent="0.3">
      <c r="A118">
        <v>1117</v>
      </c>
      <c r="B118" s="1">
        <v>45224</v>
      </c>
      <c r="C118">
        <v>2023</v>
      </c>
      <c r="D118" t="s">
        <v>12</v>
      </c>
      <c r="E118" t="s">
        <v>24</v>
      </c>
      <c r="F118" t="s">
        <v>25</v>
      </c>
      <c r="G118" t="s">
        <v>29</v>
      </c>
      <c r="H118" t="s">
        <v>46</v>
      </c>
      <c r="I118" t="s">
        <v>17</v>
      </c>
      <c r="J118">
        <v>11947</v>
      </c>
      <c r="K118">
        <v>10016</v>
      </c>
      <c r="L118">
        <v>3</v>
      </c>
    </row>
    <row r="119" spans="1:12" x14ac:dyDescent="0.3">
      <c r="A119">
        <v>1118</v>
      </c>
      <c r="B119" s="1">
        <v>45425</v>
      </c>
      <c r="C119">
        <v>2024</v>
      </c>
      <c r="D119" t="s">
        <v>18</v>
      </c>
      <c r="E119" t="s">
        <v>19</v>
      </c>
      <c r="F119" t="s">
        <v>40</v>
      </c>
      <c r="G119" t="s">
        <v>40</v>
      </c>
      <c r="H119" t="s">
        <v>27</v>
      </c>
      <c r="I119" t="s">
        <v>17</v>
      </c>
      <c r="J119">
        <v>24215</v>
      </c>
      <c r="K119">
        <v>17428</v>
      </c>
      <c r="L119">
        <v>1</v>
      </c>
    </row>
    <row r="120" spans="1:12" x14ac:dyDescent="0.3">
      <c r="A120">
        <v>1119</v>
      </c>
      <c r="B120" s="1">
        <v>45050</v>
      </c>
      <c r="C120">
        <v>2023</v>
      </c>
      <c r="D120" t="s">
        <v>18</v>
      </c>
      <c r="E120" t="s">
        <v>24</v>
      </c>
      <c r="F120" t="s">
        <v>25</v>
      </c>
      <c r="G120" t="s">
        <v>29</v>
      </c>
      <c r="H120" t="s">
        <v>22</v>
      </c>
      <c r="I120" t="s">
        <v>23</v>
      </c>
      <c r="J120">
        <v>9567</v>
      </c>
      <c r="K120">
        <v>7094</v>
      </c>
      <c r="L120">
        <v>3</v>
      </c>
    </row>
    <row r="121" spans="1:12" x14ac:dyDescent="0.3">
      <c r="A121">
        <v>1120</v>
      </c>
      <c r="B121" s="1">
        <v>45406</v>
      </c>
      <c r="C121">
        <v>2024</v>
      </c>
      <c r="D121" t="s">
        <v>38</v>
      </c>
      <c r="E121" t="s">
        <v>24</v>
      </c>
      <c r="F121" t="s">
        <v>25</v>
      </c>
      <c r="G121" t="s">
        <v>29</v>
      </c>
      <c r="H121" t="s">
        <v>41</v>
      </c>
      <c r="I121" t="s">
        <v>23</v>
      </c>
      <c r="J121">
        <v>16656</v>
      </c>
      <c r="K121">
        <v>12199</v>
      </c>
      <c r="L121">
        <v>2</v>
      </c>
    </row>
    <row r="122" spans="1:12" x14ac:dyDescent="0.3">
      <c r="A122">
        <v>1121</v>
      </c>
      <c r="B122" s="1">
        <v>45149</v>
      </c>
      <c r="C122">
        <v>2023</v>
      </c>
      <c r="D122" t="s">
        <v>48</v>
      </c>
      <c r="E122" t="s">
        <v>24</v>
      </c>
      <c r="F122" t="s">
        <v>25</v>
      </c>
      <c r="G122" t="s">
        <v>29</v>
      </c>
      <c r="H122" t="s">
        <v>34</v>
      </c>
      <c r="I122" t="s">
        <v>23</v>
      </c>
      <c r="J122">
        <v>33341</v>
      </c>
      <c r="K122">
        <v>23356</v>
      </c>
      <c r="L122">
        <v>4</v>
      </c>
    </row>
    <row r="123" spans="1:12" x14ac:dyDescent="0.3">
      <c r="A123">
        <v>1122</v>
      </c>
      <c r="B123" s="1">
        <v>45052</v>
      </c>
      <c r="C123">
        <v>2023</v>
      </c>
      <c r="D123" t="s">
        <v>18</v>
      </c>
      <c r="E123" t="s">
        <v>19</v>
      </c>
      <c r="F123" t="s">
        <v>40</v>
      </c>
      <c r="G123" t="s">
        <v>40</v>
      </c>
      <c r="H123" t="s">
        <v>27</v>
      </c>
      <c r="I123" t="s">
        <v>17</v>
      </c>
      <c r="J123">
        <v>23812</v>
      </c>
      <c r="K123">
        <v>16557</v>
      </c>
      <c r="L123">
        <v>3</v>
      </c>
    </row>
    <row r="124" spans="1:12" x14ac:dyDescent="0.3">
      <c r="A124">
        <v>1123</v>
      </c>
      <c r="B124" s="1">
        <v>45098</v>
      </c>
      <c r="C124">
        <v>2023</v>
      </c>
      <c r="D124" t="s">
        <v>31</v>
      </c>
      <c r="E124" t="s">
        <v>19</v>
      </c>
      <c r="F124" t="s">
        <v>20</v>
      </c>
      <c r="G124" t="s">
        <v>21</v>
      </c>
      <c r="H124" t="s">
        <v>27</v>
      </c>
      <c r="I124" t="s">
        <v>17</v>
      </c>
      <c r="J124">
        <v>23747</v>
      </c>
      <c r="K124">
        <v>14695</v>
      </c>
      <c r="L124">
        <v>2</v>
      </c>
    </row>
    <row r="125" spans="1:12" x14ac:dyDescent="0.3">
      <c r="A125">
        <v>1124</v>
      </c>
      <c r="B125" s="1">
        <v>45046</v>
      </c>
      <c r="C125">
        <v>2023</v>
      </c>
      <c r="D125" t="s">
        <v>38</v>
      </c>
      <c r="E125" t="s">
        <v>13</v>
      </c>
      <c r="F125" t="s">
        <v>14</v>
      </c>
      <c r="G125" t="s">
        <v>15</v>
      </c>
      <c r="H125" t="s">
        <v>16</v>
      </c>
      <c r="I125" t="s">
        <v>17</v>
      </c>
      <c r="J125">
        <v>53079</v>
      </c>
      <c r="K125">
        <v>42354</v>
      </c>
      <c r="L125">
        <v>1</v>
      </c>
    </row>
    <row r="126" spans="1:12" x14ac:dyDescent="0.3">
      <c r="A126">
        <v>1125</v>
      </c>
      <c r="B126" s="1">
        <v>45578</v>
      </c>
      <c r="C126">
        <v>2024</v>
      </c>
      <c r="D126" t="s">
        <v>12</v>
      </c>
      <c r="E126" t="s">
        <v>24</v>
      </c>
      <c r="F126" t="s">
        <v>25</v>
      </c>
      <c r="G126" t="s">
        <v>26</v>
      </c>
      <c r="H126" t="s">
        <v>34</v>
      </c>
      <c r="I126" t="s">
        <v>23</v>
      </c>
      <c r="J126">
        <v>19881</v>
      </c>
      <c r="K126">
        <v>14689</v>
      </c>
      <c r="L126">
        <v>2</v>
      </c>
    </row>
    <row r="127" spans="1:12" x14ac:dyDescent="0.3">
      <c r="A127">
        <v>1126</v>
      </c>
      <c r="B127" s="1">
        <v>45394</v>
      </c>
      <c r="C127">
        <v>2024</v>
      </c>
      <c r="D127" t="s">
        <v>38</v>
      </c>
      <c r="E127" t="s">
        <v>19</v>
      </c>
      <c r="F127" t="s">
        <v>20</v>
      </c>
      <c r="G127" t="s">
        <v>21</v>
      </c>
      <c r="H127" t="s">
        <v>16</v>
      </c>
      <c r="I127" t="s">
        <v>17</v>
      </c>
      <c r="J127">
        <v>50691</v>
      </c>
      <c r="K127">
        <v>33214</v>
      </c>
      <c r="L127">
        <v>1</v>
      </c>
    </row>
    <row r="128" spans="1:12" x14ac:dyDescent="0.3">
      <c r="A128">
        <v>1127</v>
      </c>
      <c r="B128" s="1">
        <v>45054</v>
      </c>
      <c r="C128">
        <v>2023</v>
      </c>
      <c r="D128" t="s">
        <v>18</v>
      </c>
      <c r="E128" t="s">
        <v>19</v>
      </c>
      <c r="F128" t="s">
        <v>40</v>
      </c>
      <c r="G128" t="s">
        <v>40</v>
      </c>
      <c r="H128" t="s">
        <v>41</v>
      </c>
      <c r="I128" t="s">
        <v>23</v>
      </c>
      <c r="J128">
        <v>12785</v>
      </c>
      <c r="K128">
        <v>10237</v>
      </c>
      <c r="L128">
        <v>1</v>
      </c>
    </row>
    <row r="129" spans="1:12" x14ac:dyDescent="0.3">
      <c r="A129">
        <v>1128</v>
      </c>
      <c r="B129" s="1">
        <v>45182</v>
      </c>
      <c r="C129">
        <v>2023</v>
      </c>
      <c r="D129" t="s">
        <v>42</v>
      </c>
      <c r="E129" t="s">
        <v>13</v>
      </c>
      <c r="F129" t="s">
        <v>14</v>
      </c>
      <c r="G129" t="s">
        <v>15</v>
      </c>
      <c r="H129" t="s">
        <v>22</v>
      </c>
      <c r="I129" t="s">
        <v>23</v>
      </c>
      <c r="J129">
        <v>6963</v>
      </c>
      <c r="K129">
        <v>5782</v>
      </c>
      <c r="L129">
        <v>4</v>
      </c>
    </row>
    <row r="130" spans="1:12" x14ac:dyDescent="0.3">
      <c r="A130">
        <v>1129</v>
      </c>
      <c r="B130" s="1">
        <v>45292</v>
      </c>
      <c r="C130">
        <v>2024</v>
      </c>
      <c r="D130" t="s">
        <v>35</v>
      </c>
      <c r="E130" t="s">
        <v>24</v>
      </c>
      <c r="F130" t="s">
        <v>25</v>
      </c>
      <c r="G130" t="s">
        <v>29</v>
      </c>
      <c r="H130" t="s">
        <v>34</v>
      </c>
      <c r="I130" t="s">
        <v>23</v>
      </c>
      <c r="J130">
        <v>39921</v>
      </c>
      <c r="K130">
        <v>27494</v>
      </c>
      <c r="L130">
        <v>2</v>
      </c>
    </row>
    <row r="131" spans="1:12" x14ac:dyDescent="0.3">
      <c r="A131">
        <v>1130</v>
      </c>
      <c r="B131" s="1">
        <v>45653</v>
      </c>
      <c r="C131">
        <v>2024</v>
      </c>
      <c r="D131" t="s">
        <v>47</v>
      </c>
      <c r="E131" t="s">
        <v>19</v>
      </c>
      <c r="F131" t="s">
        <v>40</v>
      </c>
      <c r="G131" t="s">
        <v>40</v>
      </c>
      <c r="H131" t="s">
        <v>27</v>
      </c>
      <c r="I131" t="s">
        <v>17</v>
      </c>
      <c r="J131">
        <v>21300</v>
      </c>
      <c r="K131">
        <v>15995</v>
      </c>
      <c r="L131">
        <v>2</v>
      </c>
    </row>
    <row r="132" spans="1:12" x14ac:dyDescent="0.3">
      <c r="A132">
        <v>1131</v>
      </c>
      <c r="B132" s="1">
        <v>44952</v>
      </c>
      <c r="C132">
        <v>2023</v>
      </c>
      <c r="D132" t="s">
        <v>35</v>
      </c>
      <c r="E132" t="s">
        <v>13</v>
      </c>
      <c r="F132" t="s">
        <v>36</v>
      </c>
      <c r="G132" t="s">
        <v>37</v>
      </c>
      <c r="H132" t="s">
        <v>34</v>
      </c>
      <c r="I132" t="s">
        <v>23</v>
      </c>
      <c r="J132">
        <v>28172</v>
      </c>
      <c r="K132">
        <v>17351</v>
      </c>
      <c r="L132">
        <v>3</v>
      </c>
    </row>
    <row r="133" spans="1:12" x14ac:dyDescent="0.3">
      <c r="A133">
        <v>1132</v>
      </c>
      <c r="B133" s="1">
        <v>45237</v>
      </c>
      <c r="C133">
        <v>2023</v>
      </c>
      <c r="D133" t="s">
        <v>39</v>
      </c>
      <c r="E133" t="s">
        <v>19</v>
      </c>
      <c r="F133" t="s">
        <v>20</v>
      </c>
      <c r="G133" t="s">
        <v>21</v>
      </c>
      <c r="H133" t="s">
        <v>34</v>
      </c>
      <c r="I133" t="s">
        <v>23</v>
      </c>
      <c r="J133">
        <v>38914</v>
      </c>
      <c r="K133">
        <v>25100</v>
      </c>
      <c r="L133">
        <v>1</v>
      </c>
    </row>
    <row r="134" spans="1:12" x14ac:dyDescent="0.3">
      <c r="A134">
        <v>1133</v>
      </c>
      <c r="B134" s="1">
        <v>45392</v>
      </c>
      <c r="C134">
        <v>2024</v>
      </c>
      <c r="D134" t="s">
        <v>38</v>
      </c>
      <c r="E134" t="s">
        <v>19</v>
      </c>
      <c r="F134" t="s">
        <v>20</v>
      </c>
      <c r="G134" t="s">
        <v>21</v>
      </c>
      <c r="H134" t="s">
        <v>46</v>
      </c>
      <c r="I134" t="s">
        <v>17</v>
      </c>
      <c r="J134">
        <v>21239</v>
      </c>
      <c r="K134">
        <v>14427</v>
      </c>
      <c r="L134">
        <v>5</v>
      </c>
    </row>
    <row r="135" spans="1:12" x14ac:dyDescent="0.3">
      <c r="A135">
        <v>1134</v>
      </c>
      <c r="B135" s="1">
        <v>45524</v>
      </c>
      <c r="C135">
        <v>2024</v>
      </c>
      <c r="D135" t="s">
        <v>48</v>
      </c>
      <c r="E135" t="s">
        <v>13</v>
      </c>
      <c r="F135" t="s">
        <v>14</v>
      </c>
      <c r="G135" t="s">
        <v>15</v>
      </c>
      <c r="H135" t="s">
        <v>27</v>
      </c>
      <c r="I135" t="s">
        <v>17</v>
      </c>
      <c r="J135">
        <v>22731</v>
      </c>
      <c r="K135">
        <v>14068</v>
      </c>
      <c r="L135">
        <v>5</v>
      </c>
    </row>
    <row r="136" spans="1:12" x14ac:dyDescent="0.3">
      <c r="A136">
        <v>1135</v>
      </c>
      <c r="B136" s="1">
        <v>45459</v>
      </c>
      <c r="C136">
        <v>2024</v>
      </c>
      <c r="D136" t="s">
        <v>31</v>
      </c>
      <c r="E136" t="s">
        <v>19</v>
      </c>
      <c r="F136" t="s">
        <v>40</v>
      </c>
      <c r="G136" t="s">
        <v>40</v>
      </c>
      <c r="H136" t="s">
        <v>16</v>
      </c>
      <c r="I136" t="s">
        <v>17</v>
      </c>
      <c r="J136">
        <v>57466</v>
      </c>
      <c r="K136">
        <v>46379</v>
      </c>
      <c r="L136">
        <v>1</v>
      </c>
    </row>
    <row r="137" spans="1:12" x14ac:dyDescent="0.3">
      <c r="A137">
        <v>1136</v>
      </c>
      <c r="B137" s="1">
        <v>45472</v>
      </c>
      <c r="C137">
        <v>2024</v>
      </c>
      <c r="D137" t="s">
        <v>31</v>
      </c>
      <c r="E137" t="s">
        <v>19</v>
      </c>
      <c r="F137" t="s">
        <v>20</v>
      </c>
      <c r="G137" t="s">
        <v>21</v>
      </c>
      <c r="H137" t="s">
        <v>16</v>
      </c>
      <c r="I137" t="s">
        <v>17</v>
      </c>
      <c r="J137">
        <v>58551</v>
      </c>
      <c r="K137">
        <v>40958</v>
      </c>
      <c r="L137">
        <v>2</v>
      </c>
    </row>
    <row r="138" spans="1:12" x14ac:dyDescent="0.3">
      <c r="A138">
        <v>1137</v>
      </c>
      <c r="B138" s="1">
        <v>45115</v>
      </c>
      <c r="C138">
        <v>2023</v>
      </c>
      <c r="D138" t="s">
        <v>28</v>
      </c>
      <c r="E138" t="s">
        <v>24</v>
      </c>
      <c r="F138" t="s">
        <v>25</v>
      </c>
      <c r="G138" t="s">
        <v>26</v>
      </c>
      <c r="H138" t="s">
        <v>46</v>
      </c>
      <c r="I138" t="s">
        <v>17</v>
      </c>
      <c r="J138">
        <v>12070</v>
      </c>
      <c r="K138">
        <v>7333</v>
      </c>
      <c r="L138">
        <v>2</v>
      </c>
    </row>
    <row r="139" spans="1:12" x14ac:dyDescent="0.3">
      <c r="A139">
        <v>1138</v>
      </c>
      <c r="B139" s="1">
        <v>45094</v>
      </c>
      <c r="C139">
        <v>2023</v>
      </c>
      <c r="D139" t="s">
        <v>31</v>
      </c>
      <c r="E139" t="s">
        <v>19</v>
      </c>
      <c r="F139" t="s">
        <v>20</v>
      </c>
      <c r="G139" t="s">
        <v>21</v>
      </c>
      <c r="H139" t="s">
        <v>41</v>
      </c>
      <c r="I139" t="s">
        <v>23</v>
      </c>
      <c r="J139">
        <v>9207</v>
      </c>
      <c r="K139">
        <v>7427</v>
      </c>
      <c r="L139">
        <v>1</v>
      </c>
    </row>
    <row r="140" spans="1:12" x14ac:dyDescent="0.3">
      <c r="A140">
        <v>1139</v>
      </c>
      <c r="B140" s="1">
        <v>45024</v>
      </c>
      <c r="C140">
        <v>2023</v>
      </c>
      <c r="D140" t="s">
        <v>38</v>
      </c>
      <c r="E140" t="s">
        <v>13</v>
      </c>
      <c r="F140" t="s">
        <v>43</v>
      </c>
      <c r="G140" t="s">
        <v>44</v>
      </c>
      <c r="H140" t="s">
        <v>30</v>
      </c>
      <c r="I140" t="s">
        <v>23</v>
      </c>
      <c r="J140">
        <v>6448</v>
      </c>
      <c r="K140">
        <v>5229</v>
      </c>
      <c r="L140">
        <v>2</v>
      </c>
    </row>
    <row r="141" spans="1:12" x14ac:dyDescent="0.3">
      <c r="A141">
        <v>1140</v>
      </c>
      <c r="B141" s="1">
        <v>45278</v>
      </c>
      <c r="C141">
        <v>2023</v>
      </c>
      <c r="D141" t="s">
        <v>47</v>
      </c>
      <c r="E141" t="s">
        <v>24</v>
      </c>
      <c r="F141" t="s">
        <v>32</v>
      </c>
      <c r="G141" t="s">
        <v>33</v>
      </c>
      <c r="H141" t="s">
        <v>34</v>
      </c>
      <c r="I141" t="s">
        <v>23</v>
      </c>
      <c r="J141">
        <v>16961</v>
      </c>
      <c r="K141">
        <v>13654</v>
      </c>
      <c r="L141">
        <v>5</v>
      </c>
    </row>
    <row r="142" spans="1:12" x14ac:dyDescent="0.3">
      <c r="A142">
        <v>1141</v>
      </c>
      <c r="B142" s="1">
        <v>45098</v>
      </c>
      <c r="C142">
        <v>2023</v>
      </c>
      <c r="D142" t="s">
        <v>31</v>
      </c>
      <c r="E142" t="s">
        <v>24</v>
      </c>
      <c r="F142" t="s">
        <v>25</v>
      </c>
      <c r="G142" t="s">
        <v>26</v>
      </c>
      <c r="H142" t="s">
        <v>46</v>
      </c>
      <c r="I142" t="s">
        <v>17</v>
      </c>
      <c r="J142">
        <v>25761</v>
      </c>
      <c r="K142">
        <v>21701</v>
      </c>
      <c r="L142">
        <v>2</v>
      </c>
    </row>
    <row r="143" spans="1:12" x14ac:dyDescent="0.3">
      <c r="A143">
        <v>1142</v>
      </c>
      <c r="B143" s="1">
        <v>45080</v>
      </c>
      <c r="C143">
        <v>2023</v>
      </c>
      <c r="D143" t="s">
        <v>31</v>
      </c>
      <c r="E143" t="s">
        <v>13</v>
      </c>
      <c r="F143" t="s">
        <v>36</v>
      </c>
      <c r="G143" t="s">
        <v>37</v>
      </c>
      <c r="H143" t="s">
        <v>22</v>
      </c>
      <c r="I143" t="s">
        <v>23</v>
      </c>
      <c r="J143">
        <v>4853</v>
      </c>
      <c r="K143">
        <v>4062</v>
      </c>
      <c r="L143">
        <v>4</v>
      </c>
    </row>
    <row r="144" spans="1:12" x14ac:dyDescent="0.3">
      <c r="A144">
        <v>1143</v>
      </c>
      <c r="B144" s="1">
        <v>44958</v>
      </c>
      <c r="C144">
        <v>2023</v>
      </c>
      <c r="D144" t="s">
        <v>45</v>
      </c>
      <c r="E144" t="s">
        <v>19</v>
      </c>
      <c r="F144" t="s">
        <v>40</v>
      </c>
      <c r="G144" t="s">
        <v>40</v>
      </c>
      <c r="H144" t="s">
        <v>27</v>
      </c>
      <c r="I144" t="s">
        <v>17</v>
      </c>
      <c r="J144">
        <v>21318</v>
      </c>
      <c r="K144">
        <v>13056</v>
      </c>
      <c r="L144">
        <v>3</v>
      </c>
    </row>
    <row r="145" spans="1:12" x14ac:dyDescent="0.3">
      <c r="A145">
        <v>1144</v>
      </c>
      <c r="B145" s="1">
        <v>45635</v>
      </c>
      <c r="C145">
        <v>2024</v>
      </c>
      <c r="D145" t="s">
        <v>47</v>
      </c>
      <c r="E145" t="s">
        <v>13</v>
      </c>
      <c r="F145" t="s">
        <v>36</v>
      </c>
      <c r="G145" t="s">
        <v>37</v>
      </c>
      <c r="H145" t="s">
        <v>16</v>
      </c>
      <c r="I145" t="s">
        <v>17</v>
      </c>
      <c r="J145">
        <v>66699</v>
      </c>
      <c r="K145">
        <v>40215</v>
      </c>
      <c r="L145">
        <v>1</v>
      </c>
    </row>
    <row r="146" spans="1:12" x14ac:dyDescent="0.3">
      <c r="A146">
        <v>1145</v>
      </c>
      <c r="B146" s="1">
        <v>45425</v>
      </c>
      <c r="C146">
        <v>2024</v>
      </c>
      <c r="D146" t="s">
        <v>18</v>
      </c>
      <c r="E146" t="s">
        <v>24</v>
      </c>
      <c r="F146" t="s">
        <v>25</v>
      </c>
      <c r="G146" t="s">
        <v>29</v>
      </c>
      <c r="H146" t="s">
        <v>41</v>
      </c>
      <c r="I146" t="s">
        <v>23</v>
      </c>
      <c r="J146">
        <v>15522</v>
      </c>
      <c r="K146">
        <v>10100</v>
      </c>
      <c r="L146">
        <v>2</v>
      </c>
    </row>
    <row r="147" spans="1:12" x14ac:dyDescent="0.3">
      <c r="A147">
        <v>1146</v>
      </c>
      <c r="B147" s="1">
        <v>44982</v>
      </c>
      <c r="C147">
        <v>2023</v>
      </c>
      <c r="D147" t="s">
        <v>45</v>
      </c>
      <c r="E147" t="s">
        <v>13</v>
      </c>
      <c r="F147" t="s">
        <v>43</v>
      </c>
      <c r="G147" t="s">
        <v>44</v>
      </c>
      <c r="H147" t="s">
        <v>41</v>
      </c>
      <c r="I147" t="s">
        <v>23</v>
      </c>
      <c r="J147">
        <v>17748</v>
      </c>
      <c r="K147">
        <v>12715</v>
      </c>
      <c r="L147">
        <v>1</v>
      </c>
    </row>
    <row r="148" spans="1:12" x14ac:dyDescent="0.3">
      <c r="A148">
        <v>1147</v>
      </c>
      <c r="B148" s="1">
        <v>45607</v>
      </c>
      <c r="C148">
        <v>2024</v>
      </c>
      <c r="D148" t="s">
        <v>39</v>
      </c>
      <c r="E148" t="s">
        <v>13</v>
      </c>
      <c r="F148" t="s">
        <v>43</v>
      </c>
      <c r="G148" t="s">
        <v>44</v>
      </c>
      <c r="H148" t="s">
        <v>27</v>
      </c>
      <c r="I148" t="s">
        <v>17</v>
      </c>
      <c r="J148">
        <v>30906</v>
      </c>
      <c r="K148">
        <v>19484</v>
      </c>
      <c r="L148">
        <v>1</v>
      </c>
    </row>
    <row r="149" spans="1:12" x14ac:dyDescent="0.3">
      <c r="A149">
        <v>1148</v>
      </c>
      <c r="B149" s="1">
        <v>45150</v>
      </c>
      <c r="C149">
        <v>2023</v>
      </c>
      <c r="D149" t="s">
        <v>48</v>
      </c>
      <c r="E149" t="s">
        <v>19</v>
      </c>
      <c r="F149" t="s">
        <v>20</v>
      </c>
      <c r="G149" t="s">
        <v>21</v>
      </c>
      <c r="H149" t="s">
        <v>22</v>
      </c>
      <c r="I149" t="s">
        <v>23</v>
      </c>
      <c r="J149">
        <v>7185</v>
      </c>
      <c r="K149">
        <v>5670</v>
      </c>
      <c r="L149">
        <v>3</v>
      </c>
    </row>
    <row r="150" spans="1:12" x14ac:dyDescent="0.3">
      <c r="A150">
        <v>1149</v>
      </c>
      <c r="B150" s="1">
        <v>45254</v>
      </c>
      <c r="C150">
        <v>2023</v>
      </c>
      <c r="D150" t="s">
        <v>39</v>
      </c>
      <c r="E150" t="s">
        <v>13</v>
      </c>
      <c r="F150" t="s">
        <v>14</v>
      </c>
      <c r="G150" t="s">
        <v>15</v>
      </c>
      <c r="H150" t="s">
        <v>41</v>
      </c>
      <c r="I150" t="s">
        <v>23</v>
      </c>
      <c r="J150">
        <v>10550</v>
      </c>
      <c r="K150">
        <v>8374</v>
      </c>
      <c r="L150">
        <v>5</v>
      </c>
    </row>
    <row r="151" spans="1:12" x14ac:dyDescent="0.3">
      <c r="A151">
        <v>1150</v>
      </c>
      <c r="B151" s="1">
        <v>45065</v>
      </c>
      <c r="C151">
        <v>2023</v>
      </c>
      <c r="D151" t="s">
        <v>18</v>
      </c>
      <c r="E151" t="s">
        <v>19</v>
      </c>
      <c r="F151" t="s">
        <v>20</v>
      </c>
      <c r="G151" t="s">
        <v>21</v>
      </c>
      <c r="H151" t="s">
        <v>41</v>
      </c>
      <c r="I151" t="s">
        <v>23</v>
      </c>
      <c r="J151">
        <v>12297</v>
      </c>
      <c r="K151">
        <v>10061</v>
      </c>
      <c r="L151">
        <v>5</v>
      </c>
    </row>
    <row r="152" spans="1:12" x14ac:dyDescent="0.3">
      <c r="A152">
        <v>1151</v>
      </c>
      <c r="B152" s="1">
        <v>45545</v>
      </c>
      <c r="C152">
        <v>2024</v>
      </c>
      <c r="D152" t="s">
        <v>42</v>
      </c>
      <c r="E152" t="s">
        <v>24</v>
      </c>
      <c r="F152" t="s">
        <v>25</v>
      </c>
      <c r="G152" t="s">
        <v>26</v>
      </c>
      <c r="H152" t="s">
        <v>27</v>
      </c>
      <c r="I152" t="s">
        <v>17</v>
      </c>
      <c r="J152">
        <v>18450</v>
      </c>
      <c r="K152">
        <v>11980</v>
      </c>
      <c r="L152">
        <v>3</v>
      </c>
    </row>
    <row r="153" spans="1:12" x14ac:dyDescent="0.3">
      <c r="A153">
        <v>1152</v>
      </c>
      <c r="B153" s="1">
        <v>45071</v>
      </c>
      <c r="C153">
        <v>2023</v>
      </c>
      <c r="D153" t="s">
        <v>18</v>
      </c>
      <c r="E153" t="s">
        <v>13</v>
      </c>
      <c r="F153" t="s">
        <v>36</v>
      </c>
      <c r="G153" t="s">
        <v>37</v>
      </c>
      <c r="H153" t="s">
        <v>46</v>
      </c>
      <c r="I153" t="s">
        <v>17</v>
      </c>
      <c r="J153">
        <v>14159</v>
      </c>
      <c r="K153">
        <v>10966</v>
      </c>
      <c r="L153">
        <v>3</v>
      </c>
    </row>
    <row r="154" spans="1:12" x14ac:dyDescent="0.3">
      <c r="A154">
        <v>1153</v>
      </c>
      <c r="B154" s="1">
        <v>45105</v>
      </c>
      <c r="C154">
        <v>2023</v>
      </c>
      <c r="D154" t="s">
        <v>31</v>
      </c>
      <c r="E154" t="s">
        <v>24</v>
      </c>
      <c r="F154" t="s">
        <v>32</v>
      </c>
      <c r="G154" t="s">
        <v>33</v>
      </c>
      <c r="H154" t="s">
        <v>46</v>
      </c>
      <c r="I154" t="s">
        <v>17</v>
      </c>
      <c r="J154">
        <v>23179</v>
      </c>
      <c r="K154">
        <v>17257</v>
      </c>
      <c r="L154">
        <v>2</v>
      </c>
    </row>
    <row r="155" spans="1:12" x14ac:dyDescent="0.3">
      <c r="A155">
        <v>1154</v>
      </c>
      <c r="B155" s="1">
        <v>45631</v>
      </c>
      <c r="C155">
        <v>2024</v>
      </c>
      <c r="D155" t="s">
        <v>47</v>
      </c>
      <c r="E155" t="s">
        <v>24</v>
      </c>
      <c r="F155" t="s">
        <v>32</v>
      </c>
      <c r="G155" t="s">
        <v>33</v>
      </c>
      <c r="H155" t="s">
        <v>46</v>
      </c>
      <c r="I155" t="s">
        <v>17</v>
      </c>
      <c r="J155">
        <v>19393</v>
      </c>
      <c r="K155">
        <v>14217</v>
      </c>
      <c r="L155">
        <v>2</v>
      </c>
    </row>
    <row r="156" spans="1:12" x14ac:dyDescent="0.3">
      <c r="A156">
        <v>1155</v>
      </c>
      <c r="B156" s="1">
        <v>45414</v>
      </c>
      <c r="C156">
        <v>2024</v>
      </c>
      <c r="D156" t="s">
        <v>18</v>
      </c>
      <c r="E156" t="s">
        <v>13</v>
      </c>
      <c r="F156" t="s">
        <v>36</v>
      </c>
      <c r="G156" t="s">
        <v>37</v>
      </c>
      <c r="H156" t="s">
        <v>27</v>
      </c>
      <c r="I156" t="s">
        <v>17</v>
      </c>
      <c r="J156">
        <v>28741</v>
      </c>
      <c r="K156">
        <v>18486</v>
      </c>
      <c r="L156">
        <v>3</v>
      </c>
    </row>
    <row r="157" spans="1:12" x14ac:dyDescent="0.3">
      <c r="A157">
        <v>1156</v>
      </c>
      <c r="B157" s="1">
        <v>45366</v>
      </c>
      <c r="C157">
        <v>2024</v>
      </c>
      <c r="D157" t="s">
        <v>49</v>
      </c>
      <c r="E157" t="s">
        <v>19</v>
      </c>
      <c r="F157" t="s">
        <v>40</v>
      </c>
      <c r="G157" t="s">
        <v>40</v>
      </c>
      <c r="H157" t="s">
        <v>30</v>
      </c>
      <c r="I157" t="s">
        <v>23</v>
      </c>
      <c r="J157">
        <v>9898</v>
      </c>
      <c r="K157">
        <v>7336</v>
      </c>
      <c r="L157">
        <v>2</v>
      </c>
    </row>
    <row r="158" spans="1:12" x14ac:dyDescent="0.3">
      <c r="A158">
        <v>1157</v>
      </c>
      <c r="B158" s="1">
        <v>44943</v>
      </c>
      <c r="C158">
        <v>2023</v>
      </c>
      <c r="D158" t="s">
        <v>35</v>
      </c>
      <c r="E158" t="s">
        <v>19</v>
      </c>
      <c r="F158" t="s">
        <v>40</v>
      </c>
      <c r="G158" t="s">
        <v>40</v>
      </c>
      <c r="H158" t="s">
        <v>46</v>
      </c>
      <c r="I158" t="s">
        <v>17</v>
      </c>
      <c r="J158">
        <v>17321</v>
      </c>
      <c r="K158">
        <v>14496</v>
      </c>
      <c r="L158">
        <v>5</v>
      </c>
    </row>
    <row r="159" spans="1:12" x14ac:dyDescent="0.3">
      <c r="A159">
        <v>1158</v>
      </c>
      <c r="B159" s="1">
        <v>45167</v>
      </c>
      <c r="C159">
        <v>2023</v>
      </c>
      <c r="D159" t="s">
        <v>48</v>
      </c>
      <c r="E159" t="s">
        <v>13</v>
      </c>
      <c r="F159" t="s">
        <v>43</v>
      </c>
      <c r="G159" t="s">
        <v>44</v>
      </c>
      <c r="H159" t="s">
        <v>30</v>
      </c>
      <c r="I159" t="s">
        <v>23</v>
      </c>
      <c r="J159">
        <v>7994</v>
      </c>
      <c r="K159">
        <v>5835</v>
      </c>
      <c r="L159">
        <v>2</v>
      </c>
    </row>
    <row r="160" spans="1:12" x14ac:dyDescent="0.3">
      <c r="A160">
        <v>1159</v>
      </c>
      <c r="B160" s="1">
        <v>45638</v>
      </c>
      <c r="C160">
        <v>2024</v>
      </c>
      <c r="D160" t="s">
        <v>47</v>
      </c>
      <c r="E160" t="s">
        <v>13</v>
      </c>
      <c r="F160" t="s">
        <v>36</v>
      </c>
      <c r="G160" t="s">
        <v>37</v>
      </c>
      <c r="H160" t="s">
        <v>34</v>
      </c>
      <c r="I160" t="s">
        <v>23</v>
      </c>
      <c r="J160">
        <v>28830</v>
      </c>
      <c r="K160">
        <v>17940</v>
      </c>
      <c r="L160">
        <v>4</v>
      </c>
    </row>
    <row r="161" spans="1:12" x14ac:dyDescent="0.3">
      <c r="A161">
        <v>1160</v>
      </c>
      <c r="B161" s="1">
        <v>45268</v>
      </c>
      <c r="C161">
        <v>2023</v>
      </c>
      <c r="D161" t="s">
        <v>47</v>
      </c>
      <c r="E161" t="s">
        <v>13</v>
      </c>
      <c r="F161" t="s">
        <v>14</v>
      </c>
      <c r="G161" t="s">
        <v>15</v>
      </c>
      <c r="H161" t="s">
        <v>16</v>
      </c>
      <c r="I161" t="s">
        <v>17</v>
      </c>
      <c r="J161">
        <v>55015</v>
      </c>
      <c r="K161">
        <v>33449</v>
      </c>
      <c r="L161">
        <v>2</v>
      </c>
    </row>
    <row r="162" spans="1:12" x14ac:dyDescent="0.3">
      <c r="A162">
        <v>1161</v>
      </c>
      <c r="B162" s="1">
        <v>44962</v>
      </c>
      <c r="C162">
        <v>2023</v>
      </c>
      <c r="D162" t="s">
        <v>45</v>
      </c>
      <c r="E162" t="s">
        <v>24</v>
      </c>
      <c r="F162" t="s">
        <v>25</v>
      </c>
      <c r="G162" t="s">
        <v>26</v>
      </c>
      <c r="H162" t="s">
        <v>41</v>
      </c>
      <c r="I162" t="s">
        <v>23</v>
      </c>
      <c r="J162">
        <v>7214</v>
      </c>
      <c r="K162">
        <v>5263</v>
      </c>
      <c r="L162">
        <v>2</v>
      </c>
    </row>
    <row r="163" spans="1:12" x14ac:dyDescent="0.3">
      <c r="A163">
        <v>1162</v>
      </c>
      <c r="B163" s="1">
        <v>45150</v>
      </c>
      <c r="C163">
        <v>2023</v>
      </c>
      <c r="D163" t="s">
        <v>48</v>
      </c>
      <c r="E163" t="s">
        <v>24</v>
      </c>
      <c r="F163" t="s">
        <v>25</v>
      </c>
      <c r="G163" t="s">
        <v>29</v>
      </c>
      <c r="H163" t="s">
        <v>34</v>
      </c>
      <c r="I163" t="s">
        <v>23</v>
      </c>
      <c r="J163">
        <v>27312</v>
      </c>
      <c r="K163">
        <v>21007</v>
      </c>
      <c r="L163">
        <v>5</v>
      </c>
    </row>
    <row r="164" spans="1:12" x14ac:dyDescent="0.3">
      <c r="A164">
        <v>1163</v>
      </c>
      <c r="B164" s="1">
        <v>45116</v>
      </c>
      <c r="C164">
        <v>2023</v>
      </c>
      <c r="D164" t="s">
        <v>28</v>
      </c>
      <c r="E164" t="s">
        <v>24</v>
      </c>
      <c r="F164" t="s">
        <v>32</v>
      </c>
      <c r="G164" t="s">
        <v>33</v>
      </c>
      <c r="H164" t="s">
        <v>30</v>
      </c>
      <c r="I164" t="s">
        <v>23</v>
      </c>
      <c r="J164">
        <v>14437</v>
      </c>
      <c r="K164">
        <v>10619</v>
      </c>
      <c r="L164">
        <v>3</v>
      </c>
    </row>
    <row r="165" spans="1:12" x14ac:dyDescent="0.3">
      <c r="A165">
        <v>1164</v>
      </c>
      <c r="B165" s="1">
        <v>45268</v>
      </c>
      <c r="C165">
        <v>2023</v>
      </c>
      <c r="D165" t="s">
        <v>47</v>
      </c>
      <c r="E165" t="s">
        <v>24</v>
      </c>
      <c r="F165" t="s">
        <v>32</v>
      </c>
      <c r="G165" t="s">
        <v>33</v>
      </c>
      <c r="H165" t="s">
        <v>22</v>
      </c>
      <c r="I165" t="s">
        <v>23</v>
      </c>
      <c r="J165">
        <v>9972</v>
      </c>
      <c r="K165">
        <v>8004</v>
      </c>
      <c r="L165">
        <v>4</v>
      </c>
    </row>
    <row r="166" spans="1:12" x14ac:dyDescent="0.3">
      <c r="A166">
        <v>1165</v>
      </c>
      <c r="B166" s="1">
        <v>45312</v>
      </c>
      <c r="C166">
        <v>2024</v>
      </c>
      <c r="D166" t="s">
        <v>35</v>
      </c>
      <c r="E166" t="s">
        <v>19</v>
      </c>
      <c r="F166" t="s">
        <v>40</v>
      </c>
      <c r="G166" t="s">
        <v>40</v>
      </c>
      <c r="H166" t="s">
        <v>34</v>
      </c>
      <c r="I166" t="s">
        <v>23</v>
      </c>
      <c r="J166">
        <v>39439</v>
      </c>
      <c r="K166">
        <v>26805</v>
      </c>
      <c r="L166">
        <v>5</v>
      </c>
    </row>
    <row r="167" spans="1:12" x14ac:dyDescent="0.3">
      <c r="A167">
        <v>1166</v>
      </c>
      <c r="B167" s="1">
        <v>45214</v>
      </c>
      <c r="C167">
        <v>2023</v>
      </c>
      <c r="D167" t="s">
        <v>12</v>
      </c>
      <c r="E167" t="s">
        <v>24</v>
      </c>
      <c r="F167" t="s">
        <v>25</v>
      </c>
      <c r="G167" t="s">
        <v>29</v>
      </c>
      <c r="H167" t="s">
        <v>41</v>
      </c>
      <c r="I167" t="s">
        <v>23</v>
      </c>
      <c r="J167">
        <v>13312</v>
      </c>
      <c r="K167">
        <v>10667</v>
      </c>
      <c r="L167">
        <v>3</v>
      </c>
    </row>
    <row r="168" spans="1:12" x14ac:dyDescent="0.3">
      <c r="A168">
        <v>1167</v>
      </c>
      <c r="B168" s="1">
        <v>45122</v>
      </c>
      <c r="C168">
        <v>2023</v>
      </c>
      <c r="D168" t="s">
        <v>28</v>
      </c>
      <c r="E168" t="s">
        <v>24</v>
      </c>
      <c r="F168" t="s">
        <v>25</v>
      </c>
      <c r="G168" t="s">
        <v>26</v>
      </c>
      <c r="H168" t="s">
        <v>41</v>
      </c>
      <c r="I168" t="s">
        <v>23</v>
      </c>
      <c r="J168">
        <v>19263</v>
      </c>
      <c r="K168">
        <v>12409</v>
      </c>
      <c r="L168">
        <v>2</v>
      </c>
    </row>
    <row r="169" spans="1:12" x14ac:dyDescent="0.3">
      <c r="A169">
        <v>1168</v>
      </c>
      <c r="B169" s="1">
        <v>45402</v>
      </c>
      <c r="C169">
        <v>2024</v>
      </c>
      <c r="D169" t="s">
        <v>38</v>
      </c>
      <c r="E169" t="s">
        <v>24</v>
      </c>
      <c r="F169" t="s">
        <v>25</v>
      </c>
      <c r="G169" t="s">
        <v>29</v>
      </c>
      <c r="H169" t="s">
        <v>41</v>
      </c>
      <c r="I169" t="s">
        <v>23</v>
      </c>
      <c r="J169">
        <v>7573</v>
      </c>
      <c r="K169">
        <v>4869</v>
      </c>
      <c r="L169">
        <v>4</v>
      </c>
    </row>
    <row r="170" spans="1:12" x14ac:dyDescent="0.3">
      <c r="A170">
        <v>1169</v>
      </c>
      <c r="B170" s="1">
        <v>45649</v>
      </c>
      <c r="C170">
        <v>2024</v>
      </c>
      <c r="D170" t="s">
        <v>47</v>
      </c>
      <c r="E170" t="s">
        <v>19</v>
      </c>
      <c r="F170" t="s">
        <v>40</v>
      </c>
      <c r="G170" t="s">
        <v>40</v>
      </c>
      <c r="H170" t="s">
        <v>16</v>
      </c>
      <c r="I170" t="s">
        <v>17</v>
      </c>
      <c r="J170">
        <v>50389</v>
      </c>
      <c r="K170">
        <v>32485</v>
      </c>
      <c r="L170">
        <v>4</v>
      </c>
    </row>
    <row r="171" spans="1:12" x14ac:dyDescent="0.3">
      <c r="A171">
        <v>1170</v>
      </c>
      <c r="B171" s="1">
        <v>45422</v>
      </c>
      <c r="C171">
        <v>2024</v>
      </c>
      <c r="D171" t="s">
        <v>18</v>
      </c>
      <c r="E171" t="s">
        <v>19</v>
      </c>
      <c r="F171" t="s">
        <v>40</v>
      </c>
      <c r="G171" t="s">
        <v>40</v>
      </c>
      <c r="H171" t="s">
        <v>30</v>
      </c>
      <c r="I171" t="s">
        <v>23</v>
      </c>
      <c r="J171">
        <v>11361</v>
      </c>
      <c r="K171">
        <v>8415</v>
      </c>
      <c r="L171">
        <v>3</v>
      </c>
    </row>
    <row r="172" spans="1:12" x14ac:dyDescent="0.3">
      <c r="A172">
        <v>1171</v>
      </c>
      <c r="B172" s="1">
        <v>44970</v>
      </c>
      <c r="C172">
        <v>2023</v>
      </c>
      <c r="D172" t="s">
        <v>45</v>
      </c>
      <c r="E172" t="s">
        <v>13</v>
      </c>
      <c r="F172" t="s">
        <v>36</v>
      </c>
      <c r="G172" t="s">
        <v>37</v>
      </c>
      <c r="H172" t="s">
        <v>30</v>
      </c>
      <c r="I172" t="s">
        <v>23</v>
      </c>
      <c r="J172">
        <v>13815</v>
      </c>
      <c r="K172">
        <v>10051</v>
      </c>
      <c r="L172">
        <v>2</v>
      </c>
    </row>
    <row r="173" spans="1:12" x14ac:dyDescent="0.3">
      <c r="A173">
        <v>1172</v>
      </c>
      <c r="B173" s="1">
        <v>45560</v>
      </c>
      <c r="C173">
        <v>2024</v>
      </c>
      <c r="D173" t="s">
        <v>42</v>
      </c>
      <c r="E173" t="s">
        <v>13</v>
      </c>
      <c r="F173" t="s">
        <v>43</v>
      </c>
      <c r="G173" t="s">
        <v>44</v>
      </c>
      <c r="H173" t="s">
        <v>22</v>
      </c>
      <c r="I173" t="s">
        <v>23</v>
      </c>
      <c r="J173">
        <v>4450</v>
      </c>
      <c r="K173">
        <v>2789</v>
      </c>
      <c r="L173">
        <v>1</v>
      </c>
    </row>
    <row r="174" spans="1:12" x14ac:dyDescent="0.3">
      <c r="A174">
        <v>1173</v>
      </c>
      <c r="B174" s="1">
        <v>44932</v>
      </c>
      <c r="C174">
        <v>2023</v>
      </c>
      <c r="D174" t="s">
        <v>35</v>
      </c>
      <c r="E174" t="s">
        <v>19</v>
      </c>
      <c r="F174" t="s">
        <v>20</v>
      </c>
      <c r="G174" t="s">
        <v>21</v>
      </c>
      <c r="H174" t="s">
        <v>34</v>
      </c>
      <c r="I174" t="s">
        <v>23</v>
      </c>
      <c r="J174">
        <v>31852</v>
      </c>
      <c r="K174">
        <v>25547</v>
      </c>
      <c r="L174">
        <v>1</v>
      </c>
    </row>
    <row r="175" spans="1:12" x14ac:dyDescent="0.3">
      <c r="A175">
        <v>1174</v>
      </c>
      <c r="B175" s="1">
        <v>45241</v>
      </c>
      <c r="C175">
        <v>2023</v>
      </c>
      <c r="D175" t="s">
        <v>39</v>
      </c>
      <c r="E175" t="s">
        <v>19</v>
      </c>
      <c r="F175" t="s">
        <v>20</v>
      </c>
      <c r="G175" t="s">
        <v>21</v>
      </c>
      <c r="H175" t="s">
        <v>22</v>
      </c>
      <c r="I175" t="s">
        <v>23</v>
      </c>
      <c r="J175">
        <v>7155</v>
      </c>
      <c r="K175">
        <v>4593</v>
      </c>
      <c r="L175">
        <v>4</v>
      </c>
    </row>
    <row r="176" spans="1:12" x14ac:dyDescent="0.3">
      <c r="A176">
        <v>1175</v>
      </c>
      <c r="B176" s="1">
        <v>45191</v>
      </c>
      <c r="C176">
        <v>2023</v>
      </c>
      <c r="D176" t="s">
        <v>42</v>
      </c>
      <c r="E176" t="s">
        <v>24</v>
      </c>
      <c r="F176" t="s">
        <v>32</v>
      </c>
      <c r="G176" t="s">
        <v>33</v>
      </c>
      <c r="H176" t="s">
        <v>22</v>
      </c>
      <c r="I176" t="s">
        <v>23</v>
      </c>
      <c r="J176">
        <v>7991</v>
      </c>
      <c r="K176">
        <v>6776</v>
      </c>
      <c r="L176">
        <v>4</v>
      </c>
    </row>
    <row r="177" spans="1:12" x14ac:dyDescent="0.3">
      <c r="A177">
        <v>1176</v>
      </c>
      <c r="B177" s="1">
        <v>45249</v>
      </c>
      <c r="C177">
        <v>2023</v>
      </c>
      <c r="D177" t="s">
        <v>39</v>
      </c>
      <c r="E177" t="s">
        <v>19</v>
      </c>
      <c r="F177" t="s">
        <v>40</v>
      </c>
      <c r="G177" t="s">
        <v>40</v>
      </c>
      <c r="H177" t="s">
        <v>30</v>
      </c>
      <c r="I177" t="s">
        <v>23</v>
      </c>
      <c r="J177">
        <v>6732</v>
      </c>
      <c r="K177">
        <v>4474</v>
      </c>
      <c r="L177">
        <v>2</v>
      </c>
    </row>
    <row r="178" spans="1:12" x14ac:dyDescent="0.3">
      <c r="A178">
        <v>1177</v>
      </c>
      <c r="B178" s="1">
        <v>45064</v>
      </c>
      <c r="C178">
        <v>2023</v>
      </c>
      <c r="D178" t="s">
        <v>18</v>
      </c>
      <c r="E178" t="s">
        <v>13</v>
      </c>
      <c r="F178" t="s">
        <v>14</v>
      </c>
      <c r="G178" t="s">
        <v>15</v>
      </c>
      <c r="H178" t="s">
        <v>30</v>
      </c>
      <c r="I178" t="s">
        <v>23</v>
      </c>
      <c r="J178">
        <v>7894</v>
      </c>
      <c r="K178">
        <v>6551</v>
      </c>
      <c r="L178">
        <v>3</v>
      </c>
    </row>
    <row r="179" spans="1:12" x14ac:dyDescent="0.3">
      <c r="A179">
        <v>1178</v>
      </c>
      <c r="B179" s="1">
        <v>45252</v>
      </c>
      <c r="C179">
        <v>2023</v>
      </c>
      <c r="D179" t="s">
        <v>39</v>
      </c>
      <c r="E179" t="s">
        <v>13</v>
      </c>
      <c r="F179" t="s">
        <v>14</v>
      </c>
      <c r="G179" t="s">
        <v>15</v>
      </c>
      <c r="H179" t="s">
        <v>27</v>
      </c>
      <c r="I179" t="s">
        <v>17</v>
      </c>
      <c r="J179">
        <v>22159</v>
      </c>
      <c r="K179">
        <v>13390</v>
      </c>
      <c r="L179">
        <v>1</v>
      </c>
    </row>
    <row r="180" spans="1:12" x14ac:dyDescent="0.3">
      <c r="A180">
        <v>1179</v>
      </c>
      <c r="B180" s="1">
        <v>44968</v>
      </c>
      <c r="C180">
        <v>2023</v>
      </c>
      <c r="D180" t="s">
        <v>45</v>
      </c>
      <c r="E180" t="s">
        <v>19</v>
      </c>
      <c r="F180" t="s">
        <v>40</v>
      </c>
      <c r="G180" t="s">
        <v>40</v>
      </c>
      <c r="H180" t="s">
        <v>16</v>
      </c>
      <c r="I180" t="s">
        <v>17</v>
      </c>
      <c r="J180">
        <v>57929</v>
      </c>
      <c r="K180">
        <v>42296</v>
      </c>
      <c r="L180">
        <v>3</v>
      </c>
    </row>
    <row r="181" spans="1:12" x14ac:dyDescent="0.3">
      <c r="A181">
        <v>1180</v>
      </c>
      <c r="B181" s="1">
        <v>45517</v>
      </c>
      <c r="C181">
        <v>2024</v>
      </c>
      <c r="D181" t="s">
        <v>48</v>
      </c>
      <c r="E181" t="s">
        <v>13</v>
      </c>
      <c r="F181" t="s">
        <v>43</v>
      </c>
      <c r="G181" t="s">
        <v>44</v>
      </c>
      <c r="H181" t="s">
        <v>34</v>
      </c>
      <c r="I181" t="s">
        <v>23</v>
      </c>
      <c r="J181">
        <v>15762</v>
      </c>
      <c r="K181">
        <v>10437</v>
      </c>
      <c r="L181">
        <v>3</v>
      </c>
    </row>
    <row r="182" spans="1:12" x14ac:dyDescent="0.3">
      <c r="A182">
        <v>1181</v>
      </c>
      <c r="B182" s="1">
        <v>45632</v>
      </c>
      <c r="C182">
        <v>2024</v>
      </c>
      <c r="D182" t="s">
        <v>47</v>
      </c>
      <c r="E182" t="s">
        <v>19</v>
      </c>
      <c r="F182" t="s">
        <v>40</v>
      </c>
      <c r="G182" t="s">
        <v>40</v>
      </c>
      <c r="H182" t="s">
        <v>27</v>
      </c>
      <c r="I182" t="s">
        <v>17</v>
      </c>
      <c r="J182">
        <v>22560</v>
      </c>
      <c r="K182">
        <v>17609</v>
      </c>
      <c r="L182">
        <v>2</v>
      </c>
    </row>
    <row r="183" spans="1:12" x14ac:dyDescent="0.3">
      <c r="A183">
        <v>1182</v>
      </c>
      <c r="B183" s="1">
        <v>44964</v>
      </c>
      <c r="C183">
        <v>2023</v>
      </c>
      <c r="D183" t="s">
        <v>45</v>
      </c>
      <c r="E183" t="s">
        <v>19</v>
      </c>
      <c r="F183" t="s">
        <v>40</v>
      </c>
      <c r="G183" t="s">
        <v>40</v>
      </c>
      <c r="H183" t="s">
        <v>46</v>
      </c>
      <c r="I183" t="s">
        <v>17</v>
      </c>
      <c r="J183">
        <v>23925</v>
      </c>
      <c r="K183">
        <v>15345</v>
      </c>
      <c r="L183">
        <v>5</v>
      </c>
    </row>
    <row r="184" spans="1:12" x14ac:dyDescent="0.3">
      <c r="A184">
        <v>1183</v>
      </c>
      <c r="B184" s="1">
        <v>45117</v>
      </c>
      <c r="C184">
        <v>2023</v>
      </c>
      <c r="D184" t="s">
        <v>28</v>
      </c>
      <c r="E184" t="s">
        <v>13</v>
      </c>
      <c r="F184" t="s">
        <v>43</v>
      </c>
      <c r="G184" t="s">
        <v>44</v>
      </c>
      <c r="H184" t="s">
        <v>27</v>
      </c>
      <c r="I184" t="s">
        <v>17</v>
      </c>
      <c r="J184">
        <v>28010</v>
      </c>
      <c r="K184">
        <v>19948</v>
      </c>
      <c r="L184">
        <v>3</v>
      </c>
    </row>
    <row r="185" spans="1:12" x14ac:dyDescent="0.3">
      <c r="A185">
        <v>1184</v>
      </c>
      <c r="B185" s="1">
        <v>45431</v>
      </c>
      <c r="C185">
        <v>2024</v>
      </c>
      <c r="D185" t="s">
        <v>18</v>
      </c>
      <c r="E185" t="s">
        <v>13</v>
      </c>
      <c r="F185" t="s">
        <v>36</v>
      </c>
      <c r="G185" t="s">
        <v>37</v>
      </c>
      <c r="H185" t="s">
        <v>22</v>
      </c>
      <c r="I185" t="s">
        <v>23</v>
      </c>
      <c r="J185">
        <v>5483</v>
      </c>
      <c r="K185">
        <v>4334</v>
      </c>
      <c r="L185">
        <v>1</v>
      </c>
    </row>
    <row r="186" spans="1:12" x14ac:dyDescent="0.3">
      <c r="A186">
        <v>1185</v>
      </c>
      <c r="B186" s="1">
        <v>45090</v>
      </c>
      <c r="C186">
        <v>2023</v>
      </c>
      <c r="D186" t="s">
        <v>31</v>
      </c>
      <c r="E186" t="s">
        <v>19</v>
      </c>
      <c r="F186" t="s">
        <v>40</v>
      </c>
      <c r="G186" t="s">
        <v>40</v>
      </c>
      <c r="H186" t="s">
        <v>34</v>
      </c>
      <c r="I186" t="s">
        <v>23</v>
      </c>
      <c r="J186">
        <v>28271</v>
      </c>
      <c r="K186">
        <v>20884</v>
      </c>
      <c r="L186">
        <v>4</v>
      </c>
    </row>
    <row r="187" spans="1:12" x14ac:dyDescent="0.3">
      <c r="A187">
        <v>1186</v>
      </c>
      <c r="B187" s="1">
        <v>45378</v>
      </c>
      <c r="C187">
        <v>2024</v>
      </c>
      <c r="D187" t="s">
        <v>49</v>
      </c>
      <c r="E187" t="s">
        <v>24</v>
      </c>
      <c r="F187" t="s">
        <v>25</v>
      </c>
      <c r="G187" t="s">
        <v>26</v>
      </c>
      <c r="H187" t="s">
        <v>41</v>
      </c>
      <c r="I187" t="s">
        <v>23</v>
      </c>
      <c r="J187">
        <v>13048</v>
      </c>
      <c r="K187">
        <v>8625</v>
      </c>
      <c r="L187">
        <v>1</v>
      </c>
    </row>
    <row r="188" spans="1:12" x14ac:dyDescent="0.3">
      <c r="A188">
        <v>1187</v>
      </c>
      <c r="B188" s="1">
        <v>45619</v>
      </c>
      <c r="C188">
        <v>2024</v>
      </c>
      <c r="D188" t="s">
        <v>39</v>
      </c>
      <c r="E188" t="s">
        <v>24</v>
      </c>
      <c r="F188" t="s">
        <v>32</v>
      </c>
      <c r="G188" t="s">
        <v>33</v>
      </c>
      <c r="H188" t="s">
        <v>46</v>
      </c>
      <c r="I188" t="s">
        <v>17</v>
      </c>
      <c r="J188">
        <v>23226</v>
      </c>
      <c r="K188">
        <v>14345</v>
      </c>
      <c r="L188">
        <v>3</v>
      </c>
    </row>
    <row r="189" spans="1:12" x14ac:dyDescent="0.3">
      <c r="A189">
        <v>1188</v>
      </c>
      <c r="B189" s="1">
        <v>45633</v>
      </c>
      <c r="C189">
        <v>2024</v>
      </c>
      <c r="D189" t="s">
        <v>47</v>
      </c>
      <c r="E189" t="s">
        <v>24</v>
      </c>
      <c r="F189" t="s">
        <v>25</v>
      </c>
      <c r="G189" t="s">
        <v>26</v>
      </c>
      <c r="H189" t="s">
        <v>30</v>
      </c>
      <c r="I189" t="s">
        <v>23</v>
      </c>
      <c r="J189">
        <v>14731</v>
      </c>
      <c r="K189">
        <v>9979</v>
      </c>
      <c r="L189">
        <v>4</v>
      </c>
    </row>
    <row r="190" spans="1:12" x14ac:dyDescent="0.3">
      <c r="A190">
        <v>1189</v>
      </c>
      <c r="B190" s="1">
        <v>44953</v>
      </c>
      <c r="C190">
        <v>2023</v>
      </c>
      <c r="D190" t="s">
        <v>35</v>
      </c>
      <c r="E190" t="s">
        <v>24</v>
      </c>
      <c r="F190" t="s">
        <v>25</v>
      </c>
      <c r="G190" t="s">
        <v>29</v>
      </c>
      <c r="H190" t="s">
        <v>34</v>
      </c>
      <c r="I190" t="s">
        <v>23</v>
      </c>
      <c r="J190">
        <v>36394</v>
      </c>
      <c r="K190">
        <v>30659</v>
      </c>
      <c r="L190">
        <v>3</v>
      </c>
    </row>
    <row r="191" spans="1:12" x14ac:dyDescent="0.3">
      <c r="A191">
        <v>1190</v>
      </c>
      <c r="B191" s="1">
        <v>45162</v>
      </c>
      <c r="C191">
        <v>2023</v>
      </c>
      <c r="D191" t="s">
        <v>48</v>
      </c>
      <c r="E191" t="s">
        <v>13</v>
      </c>
      <c r="F191" t="s">
        <v>36</v>
      </c>
      <c r="G191" t="s">
        <v>37</v>
      </c>
      <c r="H191" t="s">
        <v>34</v>
      </c>
      <c r="I191" t="s">
        <v>23</v>
      </c>
      <c r="J191">
        <v>16592</v>
      </c>
      <c r="K191">
        <v>10138</v>
      </c>
      <c r="L191">
        <v>2</v>
      </c>
    </row>
    <row r="192" spans="1:12" x14ac:dyDescent="0.3">
      <c r="A192">
        <v>1191</v>
      </c>
      <c r="B192" s="1">
        <v>45237</v>
      </c>
      <c r="C192">
        <v>2023</v>
      </c>
      <c r="D192" t="s">
        <v>39</v>
      </c>
      <c r="E192" t="s">
        <v>13</v>
      </c>
      <c r="F192" t="s">
        <v>14</v>
      </c>
      <c r="G192" t="s">
        <v>15</v>
      </c>
      <c r="H192" t="s">
        <v>16</v>
      </c>
      <c r="I192" t="s">
        <v>17</v>
      </c>
      <c r="J192">
        <v>67191</v>
      </c>
      <c r="K192">
        <v>41483</v>
      </c>
      <c r="L192">
        <v>1</v>
      </c>
    </row>
    <row r="193" spans="1:12" x14ac:dyDescent="0.3">
      <c r="A193">
        <v>1192</v>
      </c>
      <c r="B193" s="1">
        <v>45564</v>
      </c>
      <c r="C193">
        <v>2024</v>
      </c>
      <c r="D193" t="s">
        <v>42</v>
      </c>
      <c r="E193" t="s">
        <v>24</v>
      </c>
      <c r="F193" t="s">
        <v>25</v>
      </c>
      <c r="G193" t="s">
        <v>29</v>
      </c>
      <c r="H193" t="s">
        <v>16</v>
      </c>
      <c r="I193" t="s">
        <v>17</v>
      </c>
      <c r="J193">
        <v>42563</v>
      </c>
      <c r="K193">
        <v>27969</v>
      </c>
      <c r="L193">
        <v>5</v>
      </c>
    </row>
    <row r="194" spans="1:12" x14ac:dyDescent="0.3">
      <c r="A194">
        <v>1193</v>
      </c>
      <c r="B194" s="1">
        <v>45036</v>
      </c>
      <c r="C194">
        <v>2023</v>
      </c>
      <c r="D194" t="s">
        <v>38</v>
      </c>
      <c r="E194" t="s">
        <v>24</v>
      </c>
      <c r="F194" t="s">
        <v>32</v>
      </c>
      <c r="G194" t="s">
        <v>33</v>
      </c>
      <c r="H194" t="s">
        <v>34</v>
      </c>
      <c r="I194" t="s">
        <v>23</v>
      </c>
      <c r="J194">
        <v>34059</v>
      </c>
      <c r="K194">
        <v>24718</v>
      </c>
      <c r="L194">
        <v>5</v>
      </c>
    </row>
    <row r="195" spans="1:12" x14ac:dyDescent="0.3">
      <c r="A195">
        <v>1194</v>
      </c>
      <c r="B195" s="1">
        <v>45545</v>
      </c>
      <c r="C195">
        <v>2024</v>
      </c>
      <c r="D195" t="s">
        <v>42</v>
      </c>
      <c r="E195" t="s">
        <v>24</v>
      </c>
      <c r="F195" t="s">
        <v>25</v>
      </c>
      <c r="G195" t="s">
        <v>29</v>
      </c>
      <c r="H195" t="s">
        <v>16</v>
      </c>
      <c r="I195" t="s">
        <v>17</v>
      </c>
      <c r="J195">
        <v>56376</v>
      </c>
      <c r="K195">
        <v>33895</v>
      </c>
      <c r="L195">
        <v>3</v>
      </c>
    </row>
    <row r="196" spans="1:12" x14ac:dyDescent="0.3">
      <c r="A196">
        <v>1195</v>
      </c>
      <c r="B196" s="1">
        <v>45498</v>
      </c>
      <c r="C196">
        <v>2024</v>
      </c>
      <c r="D196" t="s">
        <v>28</v>
      </c>
      <c r="E196" t="s">
        <v>19</v>
      </c>
      <c r="F196" t="s">
        <v>20</v>
      </c>
      <c r="G196" t="s">
        <v>21</v>
      </c>
      <c r="H196" t="s">
        <v>46</v>
      </c>
      <c r="I196" t="s">
        <v>17</v>
      </c>
      <c r="J196">
        <v>11846</v>
      </c>
      <c r="K196">
        <v>9677</v>
      </c>
      <c r="L196">
        <v>3</v>
      </c>
    </row>
    <row r="197" spans="1:12" x14ac:dyDescent="0.3">
      <c r="A197">
        <v>1196</v>
      </c>
      <c r="B197" s="1">
        <v>45559</v>
      </c>
      <c r="C197">
        <v>2024</v>
      </c>
      <c r="D197" t="s">
        <v>42</v>
      </c>
      <c r="E197" t="s">
        <v>13</v>
      </c>
      <c r="F197" t="s">
        <v>36</v>
      </c>
      <c r="G197" t="s">
        <v>37</v>
      </c>
      <c r="H197" t="s">
        <v>41</v>
      </c>
      <c r="I197" t="s">
        <v>23</v>
      </c>
      <c r="J197">
        <v>11195</v>
      </c>
      <c r="K197">
        <v>8926</v>
      </c>
      <c r="L197">
        <v>5</v>
      </c>
    </row>
    <row r="198" spans="1:12" x14ac:dyDescent="0.3">
      <c r="A198">
        <v>1197</v>
      </c>
      <c r="B198" s="1">
        <v>45485</v>
      </c>
      <c r="C198">
        <v>2024</v>
      </c>
      <c r="D198" t="s">
        <v>28</v>
      </c>
      <c r="E198" t="s">
        <v>13</v>
      </c>
      <c r="F198" t="s">
        <v>36</v>
      </c>
      <c r="G198" t="s">
        <v>37</v>
      </c>
      <c r="H198" t="s">
        <v>30</v>
      </c>
      <c r="I198" t="s">
        <v>23</v>
      </c>
      <c r="J198">
        <v>13903</v>
      </c>
      <c r="K198">
        <v>11294</v>
      </c>
      <c r="L198">
        <v>2</v>
      </c>
    </row>
    <row r="199" spans="1:12" x14ac:dyDescent="0.3">
      <c r="A199">
        <v>1198</v>
      </c>
      <c r="B199" s="1">
        <v>44992</v>
      </c>
      <c r="C199">
        <v>2023</v>
      </c>
      <c r="D199" t="s">
        <v>49</v>
      </c>
      <c r="E199" t="s">
        <v>13</v>
      </c>
      <c r="F199" t="s">
        <v>36</v>
      </c>
      <c r="G199" t="s">
        <v>37</v>
      </c>
      <c r="H199" t="s">
        <v>27</v>
      </c>
      <c r="I199" t="s">
        <v>17</v>
      </c>
      <c r="J199">
        <v>17789</v>
      </c>
      <c r="K199">
        <v>14627</v>
      </c>
      <c r="L199">
        <v>4</v>
      </c>
    </row>
    <row r="200" spans="1:12" x14ac:dyDescent="0.3">
      <c r="A200">
        <v>1199</v>
      </c>
      <c r="B200" s="1">
        <v>44997</v>
      </c>
      <c r="C200">
        <v>2023</v>
      </c>
      <c r="D200" t="s">
        <v>49</v>
      </c>
      <c r="E200" t="s">
        <v>19</v>
      </c>
      <c r="F200" t="s">
        <v>20</v>
      </c>
      <c r="G200" t="s">
        <v>21</v>
      </c>
      <c r="H200" t="s">
        <v>46</v>
      </c>
      <c r="I200" t="s">
        <v>17</v>
      </c>
      <c r="J200">
        <v>26634</v>
      </c>
      <c r="K200">
        <v>20922</v>
      </c>
      <c r="L200">
        <v>2</v>
      </c>
    </row>
    <row r="201" spans="1:12" x14ac:dyDescent="0.3">
      <c r="A201">
        <v>1200</v>
      </c>
      <c r="B201" s="1">
        <v>45322</v>
      </c>
      <c r="C201">
        <v>2024</v>
      </c>
      <c r="D201" t="s">
        <v>35</v>
      </c>
      <c r="E201" t="s">
        <v>24</v>
      </c>
      <c r="F201" t="s">
        <v>32</v>
      </c>
      <c r="G201" t="s">
        <v>33</v>
      </c>
      <c r="H201" t="s">
        <v>22</v>
      </c>
      <c r="I201" t="s">
        <v>23</v>
      </c>
      <c r="J201">
        <v>3591</v>
      </c>
      <c r="K201">
        <v>2595</v>
      </c>
      <c r="L201">
        <v>3</v>
      </c>
    </row>
    <row r="202" spans="1:12" x14ac:dyDescent="0.3">
      <c r="A202">
        <v>1201</v>
      </c>
      <c r="B202" s="1">
        <v>45129</v>
      </c>
      <c r="C202">
        <v>2023</v>
      </c>
      <c r="D202" t="s">
        <v>28</v>
      </c>
      <c r="E202" t="s">
        <v>19</v>
      </c>
      <c r="F202" t="s">
        <v>20</v>
      </c>
      <c r="G202" t="s">
        <v>21</v>
      </c>
      <c r="H202" t="s">
        <v>16</v>
      </c>
      <c r="I202" t="s">
        <v>17</v>
      </c>
      <c r="J202">
        <v>63960</v>
      </c>
      <c r="K202">
        <v>47822</v>
      </c>
      <c r="L202">
        <v>5</v>
      </c>
    </row>
    <row r="203" spans="1:12" x14ac:dyDescent="0.3">
      <c r="A203">
        <v>1202</v>
      </c>
      <c r="B203" s="1">
        <v>45058</v>
      </c>
      <c r="C203">
        <v>2023</v>
      </c>
      <c r="D203" t="s">
        <v>18</v>
      </c>
      <c r="E203" t="s">
        <v>13</v>
      </c>
      <c r="F203" t="s">
        <v>14</v>
      </c>
      <c r="G203" t="s">
        <v>15</v>
      </c>
      <c r="H203" t="s">
        <v>34</v>
      </c>
      <c r="I203" t="s">
        <v>23</v>
      </c>
      <c r="J203">
        <v>34026</v>
      </c>
      <c r="K203">
        <v>25253</v>
      </c>
      <c r="L203">
        <v>3</v>
      </c>
    </row>
    <row r="204" spans="1:12" x14ac:dyDescent="0.3">
      <c r="A204">
        <v>1203</v>
      </c>
      <c r="B204" s="1">
        <v>44955</v>
      </c>
      <c r="C204">
        <v>2023</v>
      </c>
      <c r="D204" t="s">
        <v>35</v>
      </c>
      <c r="E204" t="s">
        <v>19</v>
      </c>
      <c r="F204" t="s">
        <v>20</v>
      </c>
      <c r="G204" t="s">
        <v>21</v>
      </c>
      <c r="H204" t="s">
        <v>46</v>
      </c>
      <c r="I204" t="s">
        <v>17</v>
      </c>
      <c r="J204">
        <v>19111</v>
      </c>
      <c r="K204">
        <v>15754</v>
      </c>
      <c r="L204">
        <v>4</v>
      </c>
    </row>
    <row r="205" spans="1:12" x14ac:dyDescent="0.3">
      <c r="A205">
        <v>1204</v>
      </c>
      <c r="B205" s="1">
        <v>45163</v>
      </c>
      <c r="C205">
        <v>2023</v>
      </c>
      <c r="D205" t="s">
        <v>48</v>
      </c>
      <c r="E205" t="s">
        <v>13</v>
      </c>
      <c r="F205" t="s">
        <v>14</v>
      </c>
      <c r="G205" t="s">
        <v>15</v>
      </c>
      <c r="H205" t="s">
        <v>34</v>
      </c>
      <c r="I205" t="s">
        <v>23</v>
      </c>
      <c r="J205">
        <v>28393</v>
      </c>
      <c r="K205">
        <v>17904</v>
      </c>
      <c r="L205">
        <v>2</v>
      </c>
    </row>
    <row r="206" spans="1:12" x14ac:dyDescent="0.3">
      <c r="A206">
        <v>1205</v>
      </c>
      <c r="B206" s="1">
        <v>45358</v>
      </c>
      <c r="C206">
        <v>2024</v>
      </c>
      <c r="D206" t="s">
        <v>49</v>
      </c>
      <c r="E206" t="s">
        <v>19</v>
      </c>
      <c r="F206" t="s">
        <v>40</v>
      </c>
      <c r="G206" t="s">
        <v>40</v>
      </c>
      <c r="H206" t="s">
        <v>46</v>
      </c>
      <c r="I206" t="s">
        <v>17</v>
      </c>
      <c r="J206">
        <v>12866</v>
      </c>
      <c r="K206">
        <v>10581</v>
      </c>
      <c r="L206">
        <v>4</v>
      </c>
    </row>
    <row r="207" spans="1:12" x14ac:dyDescent="0.3">
      <c r="A207">
        <v>1206</v>
      </c>
      <c r="B207" s="1">
        <v>45219</v>
      </c>
      <c r="C207">
        <v>2023</v>
      </c>
      <c r="D207" t="s">
        <v>12</v>
      </c>
      <c r="E207" t="s">
        <v>24</v>
      </c>
      <c r="F207" t="s">
        <v>25</v>
      </c>
      <c r="G207" t="s">
        <v>26</v>
      </c>
      <c r="H207" t="s">
        <v>34</v>
      </c>
      <c r="I207" t="s">
        <v>23</v>
      </c>
      <c r="J207">
        <v>24227</v>
      </c>
      <c r="K207">
        <v>16162</v>
      </c>
      <c r="L207">
        <v>4</v>
      </c>
    </row>
    <row r="208" spans="1:12" x14ac:dyDescent="0.3">
      <c r="A208">
        <v>1207</v>
      </c>
      <c r="B208" s="1">
        <v>44937</v>
      </c>
      <c r="C208">
        <v>2023</v>
      </c>
      <c r="D208" t="s">
        <v>35</v>
      </c>
      <c r="E208" t="s">
        <v>13</v>
      </c>
      <c r="F208" t="s">
        <v>14</v>
      </c>
      <c r="G208" t="s">
        <v>15</v>
      </c>
      <c r="H208" t="s">
        <v>34</v>
      </c>
      <c r="I208" t="s">
        <v>23</v>
      </c>
      <c r="J208">
        <v>28261</v>
      </c>
      <c r="K208">
        <v>23973</v>
      </c>
      <c r="L208">
        <v>1</v>
      </c>
    </row>
    <row r="209" spans="1:12" x14ac:dyDescent="0.3">
      <c r="A209">
        <v>1208</v>
      </c>
      <c r="B209" s="1">
        <v>45200</v>
      </c>
      <c r="C209">
        <v>2023</v>
      </c>
      <c r="D209" t="s">
        <v>12</v>
      </c>
      <c r="E209" t="s">
        <v>13</v>
      </c>
      <c r="F209" t="s">
        <v>36</v>
      </c>
      <c r="G209" t="s">
        <v>37</v>
      </c>
      <c r="H209" t="s">
        <v>16</v>
      </c>
      <c r="I209" t="s">
        <v>17</v>
      </c>
      <c r="J209">
        <v>47599</v>
      </c>
      <c r="K209">
        <v>34216</v>
      </c>
      <c r="L209">
        <v>4</v>
      </c>
    </row>
    <row r="210" spans="1:12" x14ac:dyDescent="0.3">
      <c r="A210">
        <v>1209</v>
      </c>
      <c r="B210" s="1">
        <v>45005</v>
      </c>
      <c r="C210">
        <v>2023</v>
      </c>
      <c r="D210" t="s">
        <v>49</v>
      </c>
      <c r="E210" t="s">
        <v>13</v>
      </c>
      <c r="F210" t="s">
        <v>36</v>
      </c>
      <c r="G210" t="s">
        <v>37</v>
      </c>
      <c r="H210" t="s">
        <v>27</v>
      </c>
      <c r="I210" t="s">
        <v>17</v>
      </c>
      <c r="J210">
        <v>16902</v>
      </c>
      <c r="K210">
        <v>11168</v>
      </c>
      <c r="L210">
        <v>3</v>
      </c>
    </row>
    <row r="211" spans="1:12" x14ac:dyDescent="0.3">
      <c r="A211">
        <v>1210</v>
      </c>
      <c r="B211" s="1">
        <v>45467</v>
      </c>
      <c r="C211">
        <v>2024</v>
      </c>
      <c r="D211" t="s">
        <v>31</v>
      </c>
      <c r="E211" t="s">
        <v>19</v>
      </c>
      <c r="F211" t="s">
        <v>40</v>
      </c>
      <c r="G211" t="s">
        <v>40</v>
      </c>
      <c r="H211" t="s">
        <v>16</v>
      </c>
      <c r="I211" t="s">
        <v>17</v>
      </c>
      <c r="J211">
        <v>41191</v>
      </c>
      <c r="K211">
        <v>28280</v>
      </c>
      <c r="L211">
        <v>4</v>
      </c>
    </row>
    <row r="212" spans="1:12" x14ac:dyDescent="0.3">
      <c r="A212">
        <v>1211</v>
      </c>
      <c r="B212" s="1">
        <v>45405</v>
      </c>
      <c r="C212">
        <v>2024</v>
      </c>
      <c r="D212" t="s">
        <v>38</v>
      </c>
      <c r="E212" t="s">
        <v>24</v>
      </c>
      <c r="F212" t="s">
        <v>25</v>
      </c>
      <c r="G212" t="s">
        <v>26</v>
      </c>
      <c r="H212" t="s">
        <v>30</v>
      </c>
      <c r="I212" t="s">
        <v>23</v>
      </c>
      <c r="J212">
        <v>5023</v>
      </c>
      <c r="K212">
        <v>3871</v>
      </c>
      <c r="L212">
        <v>4</v>
      </c>
    </row>
    <row r="213" spans="1:12" x14ac:dyDescent="0.3">
      <c r="A213">
        <v>1212</v>
      </c>
      <c r="B213" s="1">
        <v>45430</v>
      </c>
      <c r="C213">
        <v>2024</v>
      </c>
      <c r="D213" t="s">
        <v>18</v>
      </c>
      <c r="E213" t="s">
        <v>19</v>
      </c>
      <c r="F213" t="s">
        <v>20</v>
      </c>
      <c r="G213" t="s">
        <v>21</v>
      </c>
      <c r="H213" t="s">
        <v>16</v>
      </c>
      <c r="I213" t="s">
        <v>17</v>
      </c>
      <c r="J213">
        <v>60546</v>
      </c>
      <c r="K213">
        <v>48686</v>
      </c>
      <c r="L213">
        <v>2</v>
      </c>
    </row>
    <row r="214" spans="1:12" x14ac:dyDescent="0.3">
      <c r="A214">
        <v>1213</v>
      </c>
      <c r="B214" s="1">
        <v>44935</v>
      </c>
      <c r="C214">
        <v>2023</v>
      </c>
      <c r="D214" t="s">
        <v>35</v>
      </c>
      <c r="E214" t="s">
        <v>19</v>
      </c>
      <c r="F214" t="s">
        <v>40</v>
      </c>
      <c r="G214" t="s">
        <v>40</v>
      </c>
      <c r="H214" t="s">
        <v>22</v>
      </c>
      <c r="I214" t="s">
        <v>23</v>
      </c>
      <c r="J214">
        <v>3754</v>
      </c>
      <c r="K214">
        <v>3113</v>
      </c>
      <c r="L214">
        <v>4</v>
      </c>
    </row>
    <row r="215" spans="1:12" x14ac:dyDescent="0.3">
      <c r="A215">
        <v>1214</v>
      </c>
      <c r="B215" s="1">
        <v>45000</v>
      </c>
      <c r="C215">
        <v>2023</v>
      </c>
      <c r="D215" t="s">
        <v>49</v>
      </c>
      <c r="E215" t="s">
        <v>19</v>
      </c>
      <c r="F215" t="s">
        <v>20</v>
      </c>
      <c r="G215" t="s">
        <v>21</v>
      </c>
      <c r="H215" t="s">
        <v>27</v>
      </c>
      <c r="I215" t="s">
        <v>17</v>
      </c>
      <c r="J215">
        <v>31807</v>
      </c>
      <c r="K215">
        <v>21181</v>
      </c>
      <c r="L215">
        <v>5</v>
      </c>
    </row>
    <row r="216" spans="1:12" x14ac:dyDescent="0.3">
      <c r="A216">
        <v>1215</v>
      </c>
      <c r="B216" s="1">
        <v>44995</v>
      </c>
      <c r="C216">
        <v>2023</v>
      </c>
      <c r="D216" t="s">
        <v>49</v>
      </c>
      <c r="E216" t="s">
        <v>24</v>
      </c>
      <c r="F216" t="s">
        <v>25</v>
      </c>
      <c r="G216" t="s">
        <v>26</v>
      </c>
      <c r="H216" t="s">
        <v>27</v>
      </c>
      <c r="I216" t="s">
        <v>17</v>
      </c>
      <c r="J216">
        <v>23199</v>
      </c>
      <c r="K216">
        <v>18670</v>
      </c>
      <c r="L216">
        <v>5</v>
      </c>
    </row>
    <row r="217" spans="1:12" x14ac:dyDescent="0.3">
      <c r="A217">
        <v>1216</v>
      </c>
      <c r="B217" s="1">
        <v>45454</v>
      </c>
      <c r="C217">
        <v>2024</v>
      </c>
      <c r="D217" t="s">
        <v>31</v>
      </c>
      <c r="E217" t="s">
        <v>19</v>
      </c>
      <c r="F217" t="s">
        <v>20</v>
      </c>
      <c r="G217" t="s">
        <v>21</v>
      </c>
      <c r="H217" t="s">
        <v>27</v>
      </c>
      <c r="I217" t="s">
        <v>17</v>
      </c>
      <c r="J217">
        <v>22784</v>
      </c>
      <c r="K217">
        <v>15425</v>
      </c>
      <c r="L217">
        <v>5</v>
      </c>
    </row>
    <row r="218" spans="1:12" x14ac:dyDescent="0.3">
      <c r="A218">
        <v>1217</v>
      </c>
      <c r="B218" s="1">
        <v>45374</v>
      </c>
      <c r="C218">
        <v>2024</v>
      </c>
      <c r="D218" t="s">
        <v>49</v>
      </c>
      <c r="E218" t="s">
        <v>13</v>
      </c>
      <c r="F218" t="s">
        <v>14</v>
      </c>
      <c r="G218" t="s">
        <v>15</v>
      </c>
      <c r="H218" t="s">
        <v>22</v>
      </c>
      <c r="I218" t="s">
        <v>23</v>
      </c>
      <c r="J218">
        <v>5527</v>
      </c>
      <c r="K218">
        <v>3372</v>
      </c>
      <c r="L218">
        <v>3</v>
      </c>
    </row>
    <row r="219" spans="1:12" x14ac:dyDescent="0.3">
      <c r="A219">
        <v>1218</v>
      </c>
      <c r="B219" s="1">
        <v>45068</v>
      </c>
      <c r="C219">
        <v>2023</v>
      </c>
      <c r="D219" t="s">
        <v>18</v>
      </c>
      <c r="E219" t="s">
        <v>19</v>
      </c>
      <c r="F219" t="s">
        <v>20</v>
      </c>
      <c r="G219" t="s">
        <v>21</v>
      </c>
      <c r="H219" t="s">
        <v>16</v>
      </c>
      <c r="I219" t="s">
        <v>17</v>
      </c>
      <c r="J219">
        <v>43189</v>
      </c>
      <c r="K219">
        <v>30290</v>
      </c>
      <c r="L219">
        <v>5</v>
      </c>
    </row>
    <row r="220" spans="1:12" x14ac:dyDescent="0.3">
      <c r="A220">
        <v>1219</v>
      </c>
      <c r="B220" s="1">
        <v>45506</v>
      </c>
      <c r="C220">
        <v>2024</v>
      </c>
      <c r="D220" t="s">
        <v>48</v>
      </c>
      <c r="E220" t="s">
        <v>13</v>
      </c>
      <c r="F220" t="s">
        <v>36</v>
      </c>
      <c r="G220" t="s">
        <v>37</v>
      </c>
      <c r="H220" t="s">
        <v>16</v>
      </c>
      <c r="I220" t="s">
        <v>17</v>
      </c>
      <c r="J220">
        <v>51399</v>
      </c>
      <c r="K220">
        <v>41052</v>
      </c>
      <c r="L220">
        <v>4</v>
      </c>
    </row>
    <row r="221" spans="1:12" x14ac:dyDescent="0.3">
      <c r="A221">
        <v>1220</v>
      </c>
      <c r="B221" s="1">
        <v>45195</v>
      </c>
      <c r="C221">
        <v>2023</v>
      </c>
      <c r="D221" t="s">
        <v>42</v>
      </c>
      <c r="E221" t="s">
        <v>13</v>
      </c>
      <c r="F221" t="s">
        <v>43</v>
      </c>
      <c r="G221" t="s">
        <v>44</v>
      </c>
      <c r="H221" t="s">
        <v>46</v>
      </c>
      <c r="I221" t="s">
        <v>17</v>
      </c>
      <c r="J221">
        <v>15391</v>
      </c>
      <c r="K221">
        <v>11956</v>
      </c>
      <c r="L221">
        <v>4</v>
      </c>
    </row>
    <row r="222" spans="1:12" x14ac:dyDescent="0.3">
      <c r="A222">
        <v>1221</v>
      </c>
      <c r="B222" s="1">
        <v>45287</v>
      </c>
      <c r="C222">
        <v>2023</v>
      </c>
      <c r="D222" t="s">
        <v>47</v>
      </c>
      <c r="E222" t="s">
        <v>13</v>
      </c>
      <c r="F222" t="s">
        <v>14</v>
      </c>
      <c r="G222" t="s">
        <v>15</v>
      </c>
      <c r="H222" t="s">
        <v>22</v>
      </c>
      <c r="I222" t="s">
        <v>23</v>
      </c>
      <c r="J222">
        <v>9201</v>
      </c>
      <c r="K222">
        <v>6709</v>
      </c>
      <c r="L222">
        <v>5</v>
      </c>
    </row>
    <row r="223" spans="1:12" x14ac:dyDescent="0.3">
      <c r="A223">
        <v>1222</v>
      </c>
      <c r="B223" s="1">
        <v>45269</v>
      </c>
      <c r="C223">
        <v>2023</v>
      </c>
      <c r="D223" t="s">
        <v>47</v>
      </c>
      <c r="E223" t="s">
        <v>19</v>
      </c>
      <c r="F223" t="s">
        <v>20</v>
      </c>
      <c r="G223" t="s">
        <v>21</v>
      </c>
      <c r="H223" t="s">
        <v>27</v>
      </c>
      <c r="I223" t="s">
        <v>17</v>
      </c>
      <c r="J223">
        <v>24002</v>
      </c>
      <c r="K223">
        <v>19997</v>
      </c>
      <c r="L223">
        <v>1</v>
      </c>
    </row>
    <row r="224" spans="1:12" x14ac:dyDescent="0.3">
      <c r="A224">
        <v>1223</v>
      </c>
      <c r="B224" s="1">
        <v>45158</v>
      </c>
      <c r="C224">
        <v>2023</v>
      </c>
      <c r="D224" t="s">
        <v>48</v>
      </c>
      <c r="E224" t="s">
        <v>24</v>
      </c>
      <c r="F224" t="s">
        <v>32</v>
      </c>
      <c r="G224" t="s">
        <v>33</v>
      </c>
      <c r="H224" t="s">
        <v>41</v>
      </c>
      <c r="I224" t="s">
        <v>23</v>
      </c>
      <c r="J224">
        <v>18268</v>
      </c>
      <c r="K224">
        <v>11090</v>
      </c>
      <c r="L224">
        <v>4</v>
      </c>
    </row>
    <row r="225" spans="1:12" x14ac:dyDescent="0.3">
      <c r="A225">
        <v>1224</v>
      </c>
      <c r="B225" s="1">
        <v>45574</v>
      </c>
      <c r="C225">
        <v>2024</v>
      </c>
      <c r="D225" t="s">
        <v>12</v>
      </c>
      <c r="E225" t="s">
        <v>24</v>
      </c>
      <c r="F225" t="s">
        <v>32</v>
      </c>
      <c r="G225" t="s">
        <v>33</v>
      </c>
      <c r="H225" t="s">
        <v>41</v>
      </c>
      <c r="I225" t="s">
        <v>23</v>
      </c>
      <c r="J225">
        <v>7826</v>
      </c>
      <c r="K225">
        <v>6246</v>
      </c>
      <c r="L225">
        <v>4</v>
      </c>
    </row>
    <row r="226" spans="1:12" x14ac:dyDescent="0.3">
      <c r="A226">
        <v>1225</v>
      </c>
      <c r="B226" s="1">
        <v>45378</v>
      </c>
      <c r="C226">
        <v>2024</v>
      </c>
      <c r="D226" t="s">
        <v>49</v>
      </c>
      <c r="E226" t="s">
        <v>13</v>
      </c>
      <c r="F226" t="s">
        <v>14</v>
      </c>
      <c r="G226" t="s">
        <v>15</v>
      </c>
      <c r="H226" t="s">
        <v>46</v>
      </c>
      <c r="I226" t="s">
        <v>17</v>
      </c>
      <c r="J226">
        <v>12101</v>
      </c>
      <c r="K226">
        <v>10058</v>
      </c>
      <c r="L226">
        <v>4</v>
      </c>
    </row>
    <row r="227" spans="1:12" x14ac:dyDescent="0.3">
      <c r="A227">
        <v>1226</v>
      </c>
      <c r="B227" s="1">
        <v>45639</v>
      </c>
      <c r="C227">
        <v>2024</v>
      </c>
      <c r="D227" t="s">
        <v>47</v>
      </c>
      <c r="E227" t="s">
        <v>13</v>
      </c>
      <c r="F227" t="s">
        <v>14</v>
      </c>
      <c r="G227" t="s">
        <v>15</v>
      </c>
      <c r="H227" t="s">
        <v>41</v>
      </c>
      <c r="I227" t="s">
        <v>23</v>
      </c>
      <c r="J227">
        <v>8477</v>
      </c>
      <c r="K227">
        <v>5994</v>
      </c>
      <c r="L227">
        <v>3</v>
      </c>
    </row>
    <row r="228" spans="1:12" x14ac:dyDescent="0.3">
      <c r="A228">
        <v>1227</v>
      </c>
      <c r="B228" s="1">
        <v>45464</v>
      </c>
      <c r="C228">
        <v>2024</v>
      </c>
      <c r="D228" t="s">
        <v>31</v>
      </c>
      <c r="E228" t="s">
        <v>24</v>
      </c>
      <c r="F228" t="s">
        <v>25</v>
      </c>
      <c r="G228" t="s">
        <v>29</v>
      </c>
      <c r="H228" t="s">
        <v>41</v>
      </c>
      <c r="I228" t="s">
        <v>23</v>
      </c>
      <c r="J228">
        <v>19544</v>
      </c>
      <c r="K228">
        <v>16229</v>
      </c>
      <c r="L228">
        <v>5</v>
      </c>
    </row>
    <row r="229" spans="1:12" x14ac:dyDescent="0.3">
      <c r="A229">
        <v>1228</v>
      </c>
      <c r="B229" s="1">
        <v>45161</v>
      </c>
      <c r="C229">
        <v>2023</v>
      </c>
      <c r="D229" t="s">
        <v>48</v>
      </c>
      <c r="E229" t="s">
        <v>24</v>
      </c>
      <c r="F229" t="s">
        <v>25</v>
      </c>
      <c r="G229" t="s">
        <v>26</v>
      </c>
      <c r="H229" t="s">
        <v>34</v>
      </c>
      <c r="I229" t="s">
        <v>23</v>
      </c>
      <c r="J229">
        <v>32187</v>
      </c>
      <c r="K229">
        <v>25790</v>
      </c>
      <c r="L229">
        <v>3</v>
      </c>
    </row>
    <row r="230" spans="1:12" x14ac:dyDescent="0.3">
      <c r="A230">
        <v>1229</v>
      </c>
      <c r="B230" s="1">
        <v>45493</v>
      </c>
      <c r="C230">
        <v>2024</v>
      </c>
      <c r="D230" t="s">
        <v>28</v>
      </c>
      <c r="E230" t="s">
        <v>24</v>
      </c>
      <c r="F230" t="s">
        <v>32</v>
      </c>
      <c r="G230" t="s">
        <v>33</v>
      </c>
      <c r="H230" t="s">
        <v>41</v>
      </c>
      <c r="I230" t="s">
        <v>23</v>
      </c>
      <c r="J230">
        <v>18144</v>
      </c>
      <c r="K230">
        <v>12842</v>
      </c>
      <c r="L230">
        <v>3</v>
      </c>
    </row>
    <row r="231" spans="1:12" x14ac:dyDescent="0.3">
      <c r="A231">
        <v>1230</v>
      </c>
      <c r="B231" s="1">
        <v>45288</v>
      </c>
      <c r="C231">
        <v>2023</v>
      </c>
      <c r="D231" t="s">
        <v>47</v>
      </c>
      <c r="E231" t="s">
        <v>19</v>
      </c>
      <c r="F231" t="s">
        <v>20</v>
      </c>
      <c r="G231" t="s">
        <v>21</v>
      </c>
      <c r="H231" t="s">
        <v>46</v>
      </c>
      <c r="I231" t="s">
        <v>17</v>
      </c>
      <c r="J231">
        <v>11229</v>
      </c>
      <c r="K231">
        <v>9519</v>
      </c>
      <c r="L231">
        <v>2</v>
      </c>
    </row>
    <row r="232" spans="1:12" x14ac:dyDescent="0.3">
      <c r="A232">
        <v>1231</v>
      </c>
      <c r="B232" s="1">
        <v>45213</v>
      </c>
      <c r="C232">
        <v>2023</v>
      </c>
      <c r="D232" t="s">
        <v>12</v>
      </c>
      <c r="E232" t="s">
        <v>24</v>
      </c>
      <c r="F232" t="s">
        <v>25</v>
      </c>
      <c r="G232" t="s">
        <v>29</v>
      </c>
      <c r="H232" t="s">
        <v>46</v>
      </c>
      <c r="I232" t="s">
        <v>17</v>
      </c>
      <c r="J232">
        <v>28004</v>
      </c>
      <c r="K232">
        <v>21520</v>
      </c>
      <c r="L232">
        <v>3</v>
      </c>
    </row>
    <row r="233" spans="1:12" x14ac:dyDescent="0.3">
      <c r="A233">
        <v>1232</v>
      </c>
      <c r="B233" s="1">
        <v>45388</v>
      </c>
      <c r="C233">
        <v>2024</v>
      </c>
      <c r="D233" t="s">
        <v>38</v>
      </c>
      <c r="E233" t="s">
        <v>19</v>
      </c>
      <c r="F233" t="s">
        <v>40</v>
      </c>
      <c r="G233" t="s">
        <v>40</v>
      </c>
      <c r="H233" t="s">
        <v>34</v>
      </c>
      <c r="I233" t="s">
        <v>23</v>
      </c>
      <c r="J233">
        <v>17127</v>
      </c>
      <c r="K233">
        <v>14154</v>
      </c>
      <c r="L233">
        <v>2</v>
      </c>
    </row>
    <row r="234" spans="1:12" x14ac:dyDescent="0.3">
      <c r="A234">
        <v>1233</v>
      </c>
      <c r="B234" s="1">
        <v>45021</v>
      </c>
      <c r="C234">
        <v>2023</v>
      </c>
      <c r="D234" t="s">
        <v>38</v>
      </c>
      <c r="E234" t="s">
        <v>13</v>
      </c>
      <c r="F234" t="s">
        <v>14</v>
      </c>
      <c r="G234" t="s">
        <v>15</v>
      </c>
      <c r="H234" t="s">
        <v>46</v>
      </c>
      <c r="I234" t="s">
        <v>17</v>
      </c>
      <c r="J234">
        <v>28445</v>
      </c>
      <c r="K234">
        <v>23334</v>
      </c>
      <c r="L234">
        <v>2</v>
      </c>
    </row>
    <row r="235" spans="1:12" x14ac:dyDescent="0.3">
      <c r="A235">
        <v>1234</v>
      </c>
      <c r="B235" s="1">
        <v>45374</v>
      </c>
      <c r="C235">
        <v>2024</v>
      </c>
      <c r="D235" t="s">
        <v>49</v>
      </c>
      <c r="E235" t="s">
        <v>24</v>
      </c>
      <c r="F235" t="s">
        <v>25</v>
      </c>
      <c r="G235" t="s">
        <v>29</v>
      </c>
      <c r="H235" t="s">
        <v>46</v>
      </c>
      <c r="I235" t="s">
        <v>17</v>
      </c>
      <c r="J235">
        <v>22184</v>
      </c>
      <c r="K235">
        <v>16244</v>
      </c>
      <c r="L235">
        <v>2</v>
      </c>
    </row>
    <row r="236" spans="1:12" x14ac:dyDescent="0.3">
      <c r="A236">
        <v>1235</v>
      </c>
      <c r="B236" s="1">
        <v>44991</v>
      </c>
      <c r="C236">
        <v>2023</v>
      </c>
      <c r="D236" t="s">
        <v>49</v>
      </c>
      <c r="E236" t="s">
        <v>24</v>
      </c>
      <c r="F236" t="s">
        <v>25</v>
      </c>
      <c r="G236" t="s">
        <v>26</v>
      </c>
      <c r="H236" t="s">
        <v>34</v>
      </c>
      <c r="I236" t="s">
        <v>23</v>
      </c>
      <c r="J236">
        <v>34409</v>
      </c>
      <c r="K236">
        <v>21869</v>
      </c>
      <c r="L236">
        <v>3</v>
      </c>
    </row>
    <row r="237" spans="1:12" x14ac:dyDescent="0.3">
      <c r="A237">
        <v>1236</v>
      </c>
      <c r="B237" s="1">
        <v>44996</v>
      </c>
      <c r="C237">
        <v>2023</v>
      </c>
      <c r="D237" t="s">
        <v>49</v>
      </c>
      <c r="E237" t="s">
        <v>13</v>
      </c>
      <c r="F237" t="s">
        <v>14</v>
      </c>
      <c r="G237" t="s">
        <v>15</v>
      </c>
      <c r="H237" t="s">
        <v>16</v>
      </c>
      <c r="I237" t="s">
        <v>17</v>
      </c>
      <c r="J237">
        <v>45096</v>
      </c>
      <c r="K237">
        <v>34043</v>
      </c>
      <c r="L237">
        <v>3</v>
      </c>
    </row>
    <row r="238" spans="1:12" x14ac:dyDescent="0.3">
      <c r="A238">
        <v>1237</v>
      </c>
      <c r="B238" s="1">
        <v>45115</v>
      </c>
      <c r="C238">
        <v>2023</v>
      </c>
      <c r="D238" t="s">
        <v>28</v>
      </c>
      <c r="E238" t="s">
        <v>13</v>
      </c>
      <c r="F238" t="s">
        <v>36</v>
      </c>
      <c r="G238" t="s">
        <v>37</v>
      </c>
      <c r="H238" t="s">
        <v>46</v>
      </c>
      <c r="I238" t="s">
        <v>17</v>
      </c>
      <c r="J238">
        <v>11952</v>
      </c>
      <c r="K238">
        <v>7740</v>
      </c>
      <c r="L238">
        <v>4</v>
      </c>
    </row>
    <row r="239" spans="1:12" x14ac:dyDescent="0.3">
      <c r="A239">
        <v>1238</v>
      </c>
      <c r="B239" s="1">
        <v>45359</v>
      </c>
      <c r="C239">
        <v>2024</v>
      </c>
      <c r="D239" t="s">
        <v>49</v>
      </c>
      <c r="E239" t="s">
        <v>19</v>
      </c>
      <c r="F239" t="s">
        <v>20</v>
      </c>
      <c r="G239" t="s">
        <v>21</v>
      </c>
      <c r="H239" t="s">
        <v>16</v>
      </c>
      <c r="I239" t="s">
        <v>17</v>
      </c>
      <c r="J239">
        <v>57318</v>
      </c>
      <c r="K239">
        <v>44861</v>
      </c>
      <c r="L239">
        <v>1</v>
      </c>
    </row>
    <row r="240" spans="1:12" x14ac:dyDescent="0.3">
      <c r="A240">
        <v>1239</v>
      </c>
      <c r="B240" s="1">
        <v>45017</v>
      </c>
      <c r="C240">
        <v>2023</v>
      </c>
      <c r="D240" t="s">
        <v>38</v>
      </c>
      <c r="E240" t="s">
        <v>19</v>
      </c>
      <c r="F240" t="s">
        <v>20</v>
      </c>
      <c r="G240" t="s">
        <v>21</v>
      </c>
      <c r="H240" t="s">
        <v>22</v>
      </c>
      <c r="I240" t="s">
        <v>23</v>
      </c>
      <c r="J240">
        <v>4768</v>
      </c>
      <c r="K240">
        <v>3535</v>
      </c>
      <c r="L240">
        <v>3</v>
      </c>
    </row>
    <row r="241" spans="1:12" x14ac:dyDescent="0.3">
      <c r="A241">
        <v>1240</v>
      </c>
      <c r="B241" s="1">
        <v>44948</v>
      </c>
      <c r="C241">
        <v>2023</v>
      </c>
      <c r="D241" t="s">
        <v>35</v>
      </c>
      <c r="E241" t="s">
        <v>24</v>
      </c>
      <c r="F241" t="s">
        <v>32</v>
      </c>
      <c r="G241" t="s">
        <v>33</v>
      </c>
      <c r="H241" t="s">
        <v>46</v>
      </c>
      <c r="I241" t="s">
        <v>17</v>
      </c>
      <c r="J241">
        <v>23030</v>
      </c>
      <c r="K241">
        <v>19449</v>
      </c>
      <c r="L241">
        <v>2</v>
      </c>
    </row>
    <row r="242" spans="1:12" x14ac:dyDescent="0.3">
      <c r="A242">
        <v>1241</v>
      </c>
      <c r="B242" s="1">
        <v>45655</v>
      </c>
      <c r="C242">
        <v>2024</v>
      </c>
      <c r="D242" t="s">
        <v>47</v>
      </c>
      <c r="E242" t="s">
        <v>13</v>
      </c>
      <c r="F242" t="s">
        <v>14</v>
      </c>
      <c r="G242" t="s">
        <v>15</v>
      </c>
      <c r="H242" t="s">
        <v>30</v>
      </c>
      <c r="I242" t="s">
        <v>23</v>
      </c>
      <c r="J242">
        <v>8954</v>
      </c>
      <c r="K242">
        <v>7073</v>
      </c>
      <c r="L242">
        <v>1</v>
      </c>
    </row>
    <row r="243" spans="1:12" x14ac:dyDescent="0.3">
      <c r="A243">
        <v>1242</v>
      </c>
      <c r="B243" s="1">
        <v>45036</v>
      </c>
      <c r="C243">
        <v>2023</v>
      </c>
      <c r="D243" t="s">
        <v>38</v>
      </c>
      <c r="E243" t="s">
        <v>13</v>
      </c>
      <c r="F243" t="s">
        <v>36</v>
      </c>
      <c r="G243" t="s">
        <v>37</v>
      </c>
      <c r="H243" t="s">
        <v>30</v>
      </c>
      <c r="I243" t="s">
        <v>23</v>
      </c>
      <c r="J243">
        <v>6632</v>
      </c>
      <c r="K243">
        <v>5493</v>
      </c>
      <c r="L243">
        <v>4</v>
      </c>
    </row>
    <row r="244" spans="1:12" x14ac:dyDescent="0.3">
      <c r="A244">
        <v>1243</v>
      </c>
      <c r="B244" s="1">
        <v>44977</v>
      </c>
      <c r="C244">
        <v>2023</v>
      </c>
      <c r="D244" t="s">
        <v>45</v>
      </c>
      <c r="E244" t="s">
        <v>24</v>
      </c>
      <c r="F244" t="s">
        <v>32</v>
      </c>
      <c r="G244" t="s">
        <v>33</v>
      </c>
      <c r="H244" t="s">
        <v>34</v>
      </c>
      <c r="I244" t="s">
        <v>23</v>
      </c>
      <c r="J244">
        <v>39969</v>
      </c>
      <c r="K244">
        <v>25915</v>
      </c>
      <c r="L244">
        <v>1</v>
      </c>
    </row>
    <row r="245" spans="1:12" x14ac:dyDescent="0.3">
      <c r="A245">
        <v>1244</v>
      </c>
      <c r="B245" s="1">
        <v>45492</v>
      </c>
      <c r="C245">
        <v>2024</v>
      </c>
      <c r="D245" t="s">
        <v>28</v>
      </c>
      <c r="E245" t="s">
        <v>13</v>
      </c>
      <c r="F245" t="s">
        <v>14</v>
      </c>
      <c r="G245" t="s">
        <v>15</v>
      </c>
      <c r="H245" t="s">
        <v>30</v>
      </c>
      <c r="I245" t="s">
        <v>23</v>
      </c>
      <c r="J245">
        <v>13822</v>
      </c>
      <c r="K245">
        <v>9445</v>
      </c>
      <c r="L245">
        <v>1</v>
      </c>
    </row>
    <row r="246" spans="1:12" x14ac:dyDescent="0.3">
      <c r="A246">
        <v>1245</v>
      </c>
      <c r="B246" s="1">
        <v>45394</v>
      </c>
      <c r="C246">
        <v>2024</v>
      </c>
      <c r="D246" t="s">
        <v>38</v>
      </c>
      <c r="E246" t="s">
        <v>13</v>
      </c>
      <c r="F246" t="s">
        <v>43</v>
      </c>
      <c r="G246" t="s">
        <v>44</v>
      </c>
      <c r="H246" t="s">
        <v>27</v>
      </c>
      <c r="I246" t="s">
        <v>17</v>
      </c>
      <c r="J246">
        <v>15363</v>
      </c>
      <c r="K246">
        <v>9646</v>
      </c>
      <c r="L246">
        <v>3</v>
      </c>
    </row>
    <row r="247" spans="1:12" x14ac:dyDescent="0.3">
      <c r="A247">
        <v>1246</v>
      </c>
      <c r="B247" s="1">
        <v>45105</v>
      </c>
      <c r="C247">
        <v>2023</v>
      </c>
      <c r="D247" t="s">
        <v>31</v>
      </c>
      <c r="E247" t="s">
        <v>19</v>
      </c>
      <c r="F247" t="s">
        <v>20</v>
      </c>
      <c r="G247" t="s">
        <v>21</v>
      </c>
      <c r="H247" t="s">
        <v>30</v>
      </c>
      <c r="I247" t="s">
        <v>23</v>
      </c>
      <c r="J247">
        <v>11291</v>
      </c>
      <c r="K247">
        <v>7566</v>
      </c>
      <c r="L247">
        <v>3</v>
      </c>
    </row>
    <row r="248" spans="1:12" x14ac:dyDescent="0.3">
      <c r="A248">
        <v>1247</v>
      </c>
      <c r="B248" s="1">
        <v>45496</v>
      </c>
      <c r="C248">
        <v>2024</v>
      </c>
      <c r="D248" t="s">
        <v>28</v>
      </c>
      <c r="E248" t="s">
        <v>19</v>
      </c>
      <c r="F248" t="s">
        <v>20</v>
      </c>
      <c r="G248" t="s">
        <v>21</v>
      </c>
      <c r="H248" t="s">
        <v>27</v>
      </c>
      <c r="I248" t="s">
        <v>17</v>
      </c>
      <c r="J248">
        <v>31632</v>
      </c>
      <c r="K248">
        <v>24969</v>
      </c>
      <c r="L248">
        <v>4</v>
      </c>
    </row>
    <row r="249" spans="1:12" x14ac:dyDescent="0.3">
      <c r="A249">
        <v>1248</v>
      </c>
      <c r="B249" s="1">
        <v>45302</v>
      </c>
      <c r="C249">
        <v>2024</v>
      </c>
      <c r="D249" t="s">
        <v>35</v>
      </c>
      <c r="E249" t="s">
        <v>24</v>
      </c>
      <c r="F249" t="s">
        <v>32</v>
      </c>
      <c r="G249" t="s">
        <v>33</v>
      </c>
      <c r="H249" t="s">
        <v>27</v>
      </c>
      <c r="I249" t="s">
        <v>17</v>
      </c>
      <c r="J249">
        <v>32698</v>
      </c>
      <c r="K249">
        <v>21832</v>
      </c>
      <c r="L249">
        <v>3</v>
      </c>
    </row>
    <row r="250" spans="1:12" x14ac:dyDescent="0.3">
      <c r="A250">
        <v>1249</v>
      </c>
      <c r="B250" s="1">
        <v>45005</v>
      </c>
      <c r="C250">
        <v>2023</v>
      </c>
      <c r="D250" t="s">
        <v>49</v>
      </c>
      <c r="E250" t="s">
        <v>19</v>
      </c>
      <c r="F250" t="s">
        <v>40</v>
      </c>
      <c r="G250" t="s">
        <v>40</v>
      </c>
      <c r="H250" t="s">
        <v>27</v>
      </c>
      <c r="I250" t="s">
        <v>17</v>
      </c>
      <c r="J250">
        <v>31151</v>
      </c>
      <c r="K250">
        <v>22916</v>
      </c>
      <c r="L250">
        <v>4</v>
      </c>
    </row>
    <row r="251" spans="1:12" x14ac:dyDescent="0.3">
      <c r="A251">
        <v>1250</v>
      </c>
      <c r="B251" s="1">
        <v>45185</v>
      </c>
      <c r="C251">
        <v>2023</v>
      </c>
      <c r="D251" t="s">
        <v>42</v>
      </c>
      <c r="E251" t="s">
        <v>19</v>
      </c>
      <c r="F251" t="s">
        <v>40</v>
      </c>
      <c r="G251" t="s">
        <v>40</v>
      </c>
      <c r="H251" t="s">
        <v>27</v>
      </c>
      <c r="I251" t="s">
        <v>17</v>
      </c>
      <c r="J251">
        <v>20127</v>
      </c>
      <c r="K251">
        <v>15066</v>
      </c>
      <c r="L251">
        <v>5</v>
      </c>
    </row>
    <row r="252" spans="1:12" x14ac:dyDescent="0.3">
      <c r="A252">
        <v>1251</v>
      </c>
      <c r="B252" s="1">
        <v>44982</v>
      </c>
      <c r="C252">
        <v>2023</v>
      </c>
      <c r="D252" t="s">
        <v>45</v>
      </c>
      <c r="E252" t="s">
        <v>19</v>
      </c>
      <c r="F252" t="s">
        <v>20</v>
      </c>
      <c r="G252" t="s">
        <v>21</v>
      </c>
      <c r="H252" t="s">
        <v>16</v>
      </c>
      <c r="I252" t="s">
        <v>17</v>
      </c>
      <c r="J252">
        <v>56423</v>
      </c>
      <c r="K252">
        <v>36247</v>
      </c>
      <c r="L252">
        <v>3</v>
      </c>
    </row>
    <row r="253" spans="1:12" x14ac:dyDescent="0.3">
      <c r="A253">
        <v>1252</v>
      </c>
      <c r="B253" s="1">
        <v>45015</v>
      </c>
      <c r="C253">
        <v>2023</v>
      </c>
      <c r="D253" t="s">
        <v>49</v>
      </c>
      <c r="E253" t="s">
        <v>24</v>
      </c>
      <c r="F253" t="s">
        <v>25</v>
      </c>
      <c r="G253" t="s">
        <v>26</v>
      </c>
      <c r="H253" t="s">
        <v>27</v>
      </c>
      <c r="I253" t="s">
        <v>17</v>
      </c>
      <c r="J253">
        <v>29261</v>
      </c>
      <c r="K253">
        <v>21442</v>
      </c>
      <c r="L253">
        <v>2</v>
      </c>
    </row>
    <row r="254" spans="1:12" x14ac:dyDescent="0.3">
      <c r="A254">
        <v>1253</v>
      </c>
      <c r="B254" s="1">
        <v>45429</v>
      </c>
      <c r="C254">
        <v>2024</v>
      </c>
      <c r="D254" t="s">
        <v>18</v>
      </c>
      <c r="E254" t="s">
        <v>13</v>
      </c>
      <c r="F254" t="s">
        <v>43</v>
      </c>
      <c r="G254" t="s">
        <v>44</v>
      </c>
      <c r="H254" t="s">
        <v>46</v>
      </c>
      <c r="I254" t="s">
        <v>17</v>
      </c>
      <c r="J254">
        <v>11966</v>
      </c>
      <c r="K254">
        <v>8171</v>
      </c>
      <c r="L254">
        <v>4</v>
      </c>
    </row>
    <row r="255" spans="1:12" x14ac:dyDescent="0.3">
      <c r="A255">
        <v>1254</v>
      </c>
      <c r="B255" s="1">
        <v>45353</v>
      </c>
      <c r="C255">
        <v>2024</v>
      </c>
      <c r="D255" t="s">
        <v>49</v>
      </c>
      <c r="E255" t="s">
        <v>13</v>
      </c>
      <c r="F255" t="s">
        <v>43</v>
      </c>
      <c r="G255" t="s">
        <v>44</v>
      </c>
      <c r="H255" t="s">
        <v>22</v>
      </c>
      <c r="I255" t="s">
        <v>23</v>
      </c>
      <c r="J255">
        <v>9669</v>
      </c>
      <c r="K255">
        <v>8217</v>
      </c>
      <c r="L255">
        <v>2</v>
      </c>
    </row>
    <row r="256" spans="1:12" x14ac:dyDescent="0.3">
      <c r="A256">
        <v>1255</v>
      </c>
      <c r="B256" s="1">
        <v>45051</v>
      </c>
      <c r="C256">
        <v>2023</v>
      </c>
      <c r="D256" t="s">
        <v>18</v>
      </c>
      <c r="E256" t="s">
        <v>19</v>
      </c>
      <c r="F256" t="s">
        <v>20</v>
      </c>
      <c r="G256" t="s">
        <v>21</v>
      </c>
      <c r="H256" t="s">
        <v>41</v>
      </c>
      <c r="I256" t="s">
        <v>23</v>
      </c>
      <c r="J256">
        <v>19101</v>
      </c>
      <c r="K256">
        <v>15585</v>
      </c>
      <c r="L256">
        <v>5</v>
      </c>
    </row>
    <row r="257" spans="1:12" x14ac:dyDescent="0.3">
      <c r="A257">
        <v>1256</v>
      </c>
      <c r="B257" s="1">
        <v>45394</v>
      </c>
      <c r="C257">
        <v>2024</v>
      </c>
      <c r="D257" t="s">
        <v>38</v>
      </c>
      <c r="E257" t="s">
        <v>19</v>
      </c>
      <c r="F257" t="s">
        <v>20</v>
      </c>
      <c r="G257" t="s">
        <v>21</v>
      </c>
      <c r="H257" t="s">
        <v>22</v>
      </c>
      <c r="I257" t="s">
        <v>23</v>
      </c>
      <c r="J257">
        <v>6704</v>
      </c>
      <c r="K257">
        <v>4710</v>
      </c>
      <c r="L257">
        <v>4</v>
      </c>
    </row>
    <row r="258" spans="1:12" x14ac:dyDescent="0.3">
      <c r="A258">
        <v>1257</v>
      </c>
      <c r="B258" s="1">
        <v>45365</v>
      </c>
      <c r="C258">
        <v>2024</v>
      </c>
      <c r="D258" t="s">
        <v>49</v>
      </c>
      <c r="E258" t="s">
        <v>13</v>
      </c>
      <c r="F258" t="s">
        <v>43</v>
      </c>
      <c r="G258" t="s">
        <v>44</v>
      </c>
      <c r="H258" t="s">
        <v>22</v>
      </c>
      <c r="I258" t="s">
        <v>23</v>
      </c>
      <c r="J258">
        <v>7496</v>
      </c>
      <c r="K258">
        <v>4925</v>
      </c>
      <c r="L258">
        <v>2</v>
      </c>
    </row>
    <row r="259" spans="1:12" x14ac:dyDescent="0.3">
      <c r="A259">
        <v>1258</v>
      </c>
      <c r="B259" s="1">
        <v>44955</v>
      </c>
      <c r="C259">
        <v>2023</v>
      </c>
      <c r="D259" t="s">
        <v>35</v>
      </c>
      <c r="E259" t="s">
        <v>13</v>
      </c>
      <c r="F259" t="s">
        <v>14</v>
      </c>
      <c r="G259" t="s">
        <v>15</v>
      </c>
      <c r="H259" t="s">
        <v>41</v>
      </c>
      <c r="I259" t="s">
        <v>23</v>
      </c>
      <c r="J259">
        <v>10417</v>
      </c>
      <c r="K259">
        <v>7277</v>
      </c>
      <c r="L259">
        <v>5</v>
      </c>
    </row>
    <row r="260" spans="1:12" x14ac:dyDescent="0.3">
      <c r="A260">
        <v>1259</v>
      </c>
      <c r="B260" s="1">
        <v>45531</v>
      </c>
      <c r="C260">
        <v>2024</v>
      </c>
      <c r="D260" t="s">
        <v>48</v>
      </c>
      <c r="E260" t="s">
        <v>19</v>
      </c>
      <c r="F260" t="s">
        <v>20</v>
      </c>
      <c r="G260" t="s">
        <v>21</v>
      </c>
      <c r="H260" t="s">
        <v>30</v>
      </c>
      <c r="I260" t="s">
        <v>23</v>
      </c>
      <c r="J260">
        <v>8259</v>
      </c>
      <c r="K260">
        <v>6928</v>
      </c>
      <c r="L260">
        <v>2</v>
      </c>
    </row>
    <row r="261" spans="1:12" x14ac:dyDescent="0.3">
      <c r="A261">
        <v>1260</v>
      </c>
      <c r="B261" s="1">
        <v>45264</v>
      </c>
      <c r="C261">
        <v>2023</v>
      </c>
      <c r="D261" t="s">
        <v>47</v>
      </c>
      <c r="E261" t="s">
        <v>19</v>
      </c>
      <c r="F261" t="s">
        <v>20</v>
      </c>
      <c r="G261" t="s">
        <v>21</v>
      </c>
      <c r="H261" t="s">
        <v>41</v>
      </c>
      <c r="I261" t="s">
        <v>23</v>
      </c>
      <c r="J261">
        <v>7594</v>
      </c>
      <c r="K261">
        <v>5476</v>
      </c>
      <c r="L261">
        <v>3</v>
      </c>
    </row>
    <row r="262" spans="1:12" x14ac:dyDescent="0.3">
      <c r="A262">
        <v>1261</v>
      </c>
      <c r="B262" s="1">
        <v>45002</v>
      </c>
      <c r="C262">
        <v>2023</v>
      </c>
      <c r="D262" t="s">
        <v>49</v>
      </c>
      <c r="E262" t="s">
        <v>24</v>
      </c>
      <c r="F262" t="s">
        <v>25</v>
      </c>
      <c r="G262" t="s">
        <v>26</v>
      </c>
      <c r="H262" t="s">
        <v>30</v>
      </c>
      <c r="I262" t="s">
        <v>23</v>
      </c>
      <c r="J262">
        <v>13201</v>
      </c>
      <c r="K262">
        <v>8518</v>
      </c>
      <c r="L262">
        <v>2</v>
      </c>
    </row>
    <row r="263" spans="1:12" x14ac:dyDescent="0.3">
      <c r="A263">
        <v>1262</v>
      </c>
      <c r="B263" s="1">
        <v>45145</v>
      </c>
      <c r="C263">
        <v>2023</v>
      </c>
      <c r="D263" t="s">
        <v>48</v>
      </c>
      <c r="E263" t="s">
        <v>19</v>
      </c>
      <c r="F263" t="s">
        <v>40</v>
      </c>
      <c r="G263" t="s">
        <v>40</v>
      </c>
      <c r="H263" t="s">
        <v>22</v>
      </c>
      <c r="I263" t="s">
        <v>23</v>
      </c>
      <c r="J263">
        <v>9022</v>
      </c>
      <c r="K263">
        <v>7301</v>
      </c>
      <c r="L263">
        <v>2</v>
      </c>
    </row>
    <row r="264" spans="1:12" x14ac:dyDescent="0.3">
      <c r="A264">
        <v>1263</v>
      </c>
      <c r="B264" s="1">
        <v>45566</v>
      </c>
      <c r="C264">
        <v>2024</v>
      </c>
      <c r="D264" t="s">
        <v>12</v>
      </c>
      <c r="E264" t="s">
        <v>13</v>
      </c>
      <c r="F264" t="s">
        <v>14</v>
      </c>
      <c r="G264" t="s">
        <v>15</v>
      </c>
      <c r="H264" t="s">
        <v>41</v>
      </c>
      <c r="I264" t="s">
        <v>23</v>
      </c>
      <c r="J264">
        <v>12754</v>
      </c>
      <c r="K264">
        <v>9317</v>
      </c>
      <c r="L264">
        <v>5</v>
      </c>
    </row>
    <row r="265" spans="1:12" x14ac:dyDescent="0.3">
      <c r="A265">
        <v>1264</v>
      </c>
      <c r="B265" s="1">
        <v>45563</v>
      </c>
      <c r="C265">
        <v>2024</v>
      </c>
      <c r="D265" t="s">
        <v>42</v>
      </c>
      <c r="E265" t="s">
        <v>13</v>
      </c>
      <c r="F265" t="s">
        <v>36</v>
      </c>
      <c r="G265" t="s">
        <v>37</v>
      </c>
      <c r="H265" t="s">
        <v>46</v>
      </c>
      <c r="I265" t="s">
        <v>17</v>
      </c>
      <c r="J265">
        <v>15178</v>
      </c>
      <c r="K265">
        <v>12676</v>
      </c>
      <c r="L265">
        <v>1</v>
      </c>
    </row>
    <row r="266" spans="1:12" x14ac:dyDescent="0.3">
      <c r="A266">
        <v>1265</v>
      </c>
      <c r="B266" s="1">
        <v>45022</v>
      </c>
      <c r="C266">
        <v>2023</v>
      </c>
      <c r="D266" t="s">
        <v>38</v>
      </c>
      <c r="E266" t="s">
        <v>24</v>
      </c>
      <c r="F266" t="s">
        <v>25</v>
      </c>
      <c r="G266" t="s">
        <v>29</v>
      </c>
      <c r="H266" t="s">
        <v>41</v>
      </c>
      <c r="I266" t="s">
        <v>23</v>
      </c>
      <c r="J266">
        <v>12009</v>
      </c>
      <c r="K266">
        <v>9399</v>
      </c>
      <c r="L266">
        <v>2</v>
      </c>
    </row>
    <row r="267" spans="1:12" x14ac:dyDescent="0.3">
      <c r="A267">
        <v>1266</v>
      </c>
      <c r="B267" s="1">
        <v>45078</v>
      </c>
      <c r="C267">
        <v>2023</v>
      </c>
      <c r="D267" t="s">
        <v>31</v>
      </c>
      <c r="E267" t="s">
        <v>13</v>
      </c>
      <c r="F267" t="s">
        <v>43</v>
      </c>
      <c r="G267" t="s">
        <v>44</v>
      </c>
      <c r="H267" t="s">
        <v>22</v>
      </c>
      <c r="I267" t="s">
        <v>23</v>
      </c>
      <c r="J267">
        <v>6255</v>
      </c>
      <c r="K267">
        <v>5311</v>
      </c>
      <c r="L267">
        <v>5</v>
      </c>
    </row>
    <row r="268" spans="1:12" x14ac:dyDescent="0.3">
      <c r="A268">
        <v>1267</v>
      </c>
      <c r="B268" s="1">
        <v>45524</v>
      </c>
      <c r="C268">
        <v>2024</v>
      </c>
      <c r="D268" t="s">
        <v>48</v>
      </c>
      <c r="E268" t="s">
        <v>13</v>
      </c>
      <c r="F268" t="s">
        <v>14</v>
      </c>
      <c r="G268" t="s">
        <v>15</v>
      </c>
      <c r="H268" t="s">
        <v>34</v>
      </c>
      <c r="I268" t="s">
        <v>23</v>
      </c>
      <c r="J268">
        <v>27788</v>
      </c>
      <c r="K268">
        <v>17925</v>
      </c>
      <c r="L268">
        <v>4</v>
      </c>
    </row>
    <row r="269" spans="1:12" x14ac:dyDescent="0.3">
      <c r="A269">
        <v>1268</v>
      </c>
      <c r="B269" s="1">
        <v>45637</v>
      </c>
      <c r="C269">
        <v>2024</v>
      </c>
      <c r="D269" t="s">
        <v>47</v>
      </c>
      <c r="E269" t="s">
        <v>19</v>
      </c>
      <c r="F269" t="s">
        <v>40</v>
      </c>
      <c r="G269" t="s">
        <v>40</v>
      </c>
      <c r="H269" t="s">
        <v>22</v>
      </c>
      <c r="I269" t="s">
        <v>23</v>
      </c>
      <c r="J269">
        <v>8615</v>
      </c>
      <c r="K269">
        <v>6962</v>
      </c>
      <c r="L269">
        <v>4</v>
      </c>
    </row>
    <row r="270" spans="1:12" x14ac:dyDescent="0.3">
      <c r="A270">
        <v>1269</v>
      </c>
      <c r="B270" s="1">
        <v>45260</v>
      </c>
      <c r="C270">
        <v>2023</v>
      </c>
      <c r="D270" t="s">
        <v>39</v>
      </c>
      <c r="E270" t="s">
        <v>19</v>
      </c>
      <c r="F270" t="s">
        <v>40</v>
      </c>
      <c r="G270" t="s">
        <v>40</v>
      </c>
      <c r="H270" t="s">
        <v>41</v>
      </c>
      <c r="I270" t="s">
        <v>23</v>
      </c>
      <c r="J270">
        <v>12548</v>
      </c>
      <c r="K270">
        <v>9856</v>
      </c>
      <c r="L270">
        <v>4</v>
      </c>
    </row>
    <row r="271" spans="1:12" x14ac:dyDescent="0.3">
      <c r="A271">
        <v>1270</v>
      </c>
      <c r="B271" s="1">
        <v>45574</v>
      </c>
      <c r="C271">
        <v>2024</v>
      </c>
      <c r="D271" t="s">
        <v>12</v>
      </c>
      <c r="E271" t="s">
        <v>19</v>
      </c>
      <c r="F271" t="s">
        <v>40</v>
      </c>
      <c r="G271" t="s">
        <v>40</v>
      </c>
      <c r="H271" t="s">
        <v>27</v>
      </c>
      <c r="I271" t="s">
        <v>17</v>
      </c>
      <c r="J271">
        <v>16005</v>
      </c>
      <c r="K271">
        <v>11161</v>
      </c>
      <c r="L271">
        <v>4</v>
      </c>
    </row>
    <row r="272" spans="1:12" x14ac:dyDescent="0.3">
      <c r="A272">
        <v>1271</v>
      </c>
      <c r="B272" s="1">
        <v>45448</v>
      </c>
      <c r="C272">
        <v>2024</v>
      </c>
      <c r="D272" t="s">
        <v>31</v>
      </c>
      <c r="E272" t="s">
        <v>13</v>
      </c>
      <c r="F272" t="s">
        <v>36</v>
      </c>
      <c r="G272" t="s">
        <v>37</v>
      </c>
      <c r="H272" t="s">
        <v>46</v>
      </c>
      <c r="I272" t="s">
        <v>17</v>
      </c>
      <c r="J272">
        <v>12689</v>
      </c>
      <c r="K272">
        <v>8233</v>
      </c>
      <c r="L272">
        <v>1</v>
      </c>
    </row>
    <row r="273" spans="1:12" x14ac:dyDescent="0.3">
      <c r="A273">
        <v>1272</v>
      </c>
      <c r="B273" s="1">
        <v>45557</v>
      </c>
      <c r="C273">
        <v>2024</v>
      </c>
      <c r="D273" t="s">
        <v>42</v>
      </c>
      <c r="E273" t="s">
        <v>13</v>
      </c>
      <c r="F273" t="s">
        <v>14</v>
      </c>
      <c r="G273" t="s">
        <v>15</v>
      </c>
      <c r="H273" t="s">
        <v>41</v>
      </c>
      <c r="I273" t="s">
        <v>23</v>
      </c>
      <c r="J273">
        <v>9808</v>
      </c>
      <c r="K273">
        <v>7240</v>
      </c>
      <c r="L273">
        <v>4</v>
      </c>
    </row>
    <row r="274" spans="1:12" x14ac:dyDescent="0.3">
      <c r="A274">
        <v>1273</v>
      </c>
      <c r="B274" s="1">
        <v>45129</v>
      </c>
      <c r="C274">
        <v>2023</v>
      </c>
      <c r="D274" t="s">
        <v>28</v>
      </c>
      <c r="E274" t="s">
        <v>13</v>
      </c>
      <c r="F274" t="s">
        <v>36</v>
      </c>
      <c r="G274" t="s">
        <v>37</v>
      </c>
      <c r="H274" t="s">
        <v>22</v>
      </c>
      <c r="I274" t="s">
        <v>23</v>
      </c>
      <c r="J274">
        <v>7084</v>
      </c>
      <c r="K274">
        <v>5564</v>
      </c>
      <c r="L274">
        <v>2</v>
      </c>
    </row>
    <row r="275" spans="1:12" x14ac:dyDescent="0.3">
      <c r="A275">
        <v>1274</v>
      </c>
      <c r="B275" s="1">
        <v>45460</v>
      </c>
      <c r="C275">
        <v>2024</v>
      </c>
      <c r="D275" t="s">
        <v>31</v>
      </c>
      <c r="E275" t="s">
        <v>19</v>
      </c>
      <c r="F275" t="s">
        <v>20</v>
      </c>
      <c r="G275" t="s">
        <v>21</v>
      </c>
      <c r="H275" t="s">
        <v>22</v>
      </c>
      <c r="I275" t="s">
        <v>23</v>
      </c>
      <c r="J275">
        <v>8821</v>
      </c>
      <c r="K275">
        <v>5318</v>
      </c>
      <c r="L275">
        <v>4</v>
      </c>
    </row>
    <row r="276" spans="1:12" x14ac:dyDescent="0.3">
      <c r="A276">
        <v>1275</v>
      </c>
      <c r="B276" s="1">
        <v>45396</v>
      </c>
      <c r="C276">
        <v>2024</v>
      </c>
      <c r="D276" t="s">
        <v>38</v>
      </c>
      <c r="E276" t="s">
        <v>24</v>
      </c>
      <c r="F276" t="s">
        <v>25</v>
      </c>
      <c r="G276" t="s">
        <v>26</v>
      </c>
      <c r="H276" t="s">
        <v>34</v>
      </c>
      <c r="I276" t="s">
        <v>23</v>
      </c>
      <c r="J276">
        <v>25122</v>
      </c>
      <c r="K276">
        <v>18546</v>
      </c>
      <c r="L276">
        <v>5</v>
      </c>
    </row>
    <row r="277" spans="1:12" x14ac:dyDescent="0.3">
      <c r="A277">
        <v>1276</v>
      </c>
      <c r="B277" s="1">
        <v>45551</v>
      </c>
      <c r="C277">
        <v>2024</v>
      </c>
      <c r="D277" t="s">
        <v>42</v>
      </c>
      <c r="E277" t="s">
        <v>24</v>
      </c>
      <c r="F277" t="s">
        <v>25</v>
      </c>
      <c r="G277" t="s">
        <v>26</v>
      </c>
      <c r="H277" t="s">
        <v>46</v>
      </c>
      <c r="I277" t="s">
        <v>17</v>
      </c>
      <c r="J277">
        <v>28536</v>
      </c>
      <c r="K277">
        <v>23855</v>
      </c>
      <c r="L277">
        <v>1</v>
      </c>
    </row>
    <row r="278" spans="1:12" x14ac:dyDescent="0.3">
      <c r="A278">
        <v>1277</v>
      </c>
      <c r="B278" s="1">
        <v>45139</v>
      </c>
      <c r="C278">
        <v>2023</v>
      </c>
      <c r="D278" t="s">
        <v>48</v>
      </c>
      <c r="E278" t="s">
        <v>13</v>
      </c>
      <c r="F278" t="s">
        <v>36</v>
      </c>
      <c r="G278" t="s">
        <v>37</v>
      </c>
      <c r="H278" t="s">
        <v>22</v>
      </c>
      <c r="I278" t="s">
        <v>23</v>
      </c>
      <c r="J278">
        <v>7721</v>
      </c>
      <c r="K278">
        <v>4687</v>
      </c>
      <c r="L278">
        <v>5</v>
      </c>
    </row>
    <row r="279" spans="1:12" x14ac:dyDescent="0.3">
      <c r="A279">
        <v>1278</v>
      </c>
      <c r="B279" s="1">
        <v>45038</v>
      </c>
      <c r="C279">
        <v>2023</v>
      </c>
      <c r="D279" t="s">
        <v>38</v>
      </c>
      <c r="E279" t="s">
        <v>24</v>
      </c>
      <c r="F279" t="s">
        <v>32</v>
      </c>
      <c r="G279" t="s">
        <v>33</v>
      </c>
      <c r="H279" t="s">
        <v>22</v>
      </c>
      <c r="I279" t="s">
        <v>23</v>
      </c>
      <c r="J279">
        <v>4525</v>
      </c>
      <c r="K279">
        <v>2991</v>
      </c>
      <c r="L279">
        <v>5</v>
      </c>
    </row>
    <row r="280" spans="1:12" x14ac:dyDescent="0.3">
      <c r="A280">
        <v>1279</v>
      </c>
      <c r="B280" s="1">
        <v>45637</v>
      </c>
      <c r="C280">
        <v>2024</v>
      </c>
      <c r="D280" t="s">
        <v>47</v>
      </c>
      <c r="E280" t="s">
        <v>13</v>
      </c>
      <c r="F280" t="s">
        <v>43</v>
      </c>
      <c r="G280" t="s">
        <v>44</v>
      </c>
      <c r="H280" t="s">
        <v>22</v>
      </c>
      <c r="I280" t="s">
        <v>23</v>
      </c>
      <c r="J280">
        <v>4678</v>
      </c>
      <c r="K280">
        <v>3039</v>
      </c>
      <c r="L280">
        <v>2</v>
      </c>
    </row>
    <row r="281" spans="1:12" x14ac:dyDescent="0.3">
      <c r="A281">
        <v>1280</v>
      </c>
      <c r="B281" s="1">
        <v>45235</v>
      </c>
      <c r="C281">
        <v>2023</v>
      </c>
      <c r="D281" t="s">
        <v>39</v>
      </c>
      <c r="E281" t="s">
        <v>19</v>
      </c>
      <c r="F281" t="s">
        <v>40</v>
      </c>
      <c r="G281" t="s">
        <v>40</v>
      </c>
      <c r="H281" t="s">
        <v>34</v>
      </c>
      <c r="I281" t="s">
        <v>23</v>
      </c>
      <c r="J281">
        <v>19505</v>
      </c>
      <c r="K281">
        <v>13707</v>
      </c>
      <c r="L281">
        <v>1</v>
      </c>
    </row>
    <row r="282" spans="1:12" x14ac:dyDescent="0.3">
      <c r="A282">
        <v>1281</v>
      </c>
      <c r="B282" s="1">
        <v>45257</v>
      </c>
      <c r="C282">
        <v>2023</v>
      </c>
      <c r="D282" t="s">
        <v>39</v>
      </c>
      <c r="E282" t="s">
        <v>24</v>
      </c>
      <c r="F282" t="s">
        <v>32</v>
      </c>
      <c r="G282" t="s">
        <v>33</v>
      </c>
      <c r="H282" t="s">
        <v>27</v>
      </c>
      <c r="I282" t="s">
        <v>17</v>
      </c>
      <c r="J282">
        <v>28063</v>
      </c>
      <c r="K282">
        <v>17127</v>
      </c>
      <c r="L282">
        <v>5</v>
      </c>
    </row>
    <row r="283" spans="1:12" x14ac:dyDescent="0.3">
      <c r="A283">
        <v>1282</v>
      </c>
      <c r="B283" s="1">
        <v>45136</v>
      </c>
      <c r="C283">
        <v>2023</v>
      </c>
      <c r="D283" t="s">
        <v>28</v>
      </c>
      <c r="E283" t="s">
        <v>24</v>
      </c>
      <c r="F283" t="s">
        <v>32</v>
      </c>
      <c r="G283" t="s">
        <v>33</v>
      </c>
      <c r="H283" t="s">
        <v>16</v>
      </c>
      <c r="I283" t="s">
        <v>17</v>
      </c>
      <c r="J283">
        <v>54738</v>
      </c>
      <c r="K283">
        <v>37146</v>
      </c>
      <c r="L283">
        <v>2</v>
      </c>
    </row>
    <row r="284" spans="1:12" x14ac:dyDescent="0.3">
      <c r="A284">
        <v>1283</v>
      </c>
      <c r="B284" s="1">
        <v>45115</v>
      </c>
      <c r="C284">
        <v>2023</v>
      </c>
      <c r="D284" t="s">
        <v>28</v>
      </c>
      <c r="E284" t="s">
        <v>24</v>
      </c>
      <c r="F284" t="s">
        <v>25</v>
      </c>
      <c r="G284" t="s">
        <v>29</v>
      </c>
      <c r="H284" t="s">
        <v>16</v>
      </c>
      <c r="I284" t="s">
        <v>17</v>
      </c>
      <c r="J284">
        <v>61780</v>
      </c>
      <c r="K284">
        <v>41988</v>
      </c>
      <c r="L284">
        <v>4</v>
      </c>
    </row>
    <row r="285" spans="1:12" x14ac:dyDescent="0.3">
      <c r="A285">
        <v>1284</v>
      </c>
      <c r="B285" s="1">
        <v>45366</v>
      </c>
      <c r="C285">
        <v>2024</v>
      </c>
      <c r="D285" t="s">
        <v>49</v>
      </c>
      <c r="E285" t="s">
        <v>13</v>
      </c>
      <c r="F285" t="s">
        <v>43</v>
      </c>
      <c r="G285" t="s">
        <v>44</v>
      </c>
      <c r="H285" t="s">
        <v>27</v>
      </c>
      <c r="I285" t="s">
        <v>17</v>
      </c>
      <c r="J285">
        <v>21605</v>
      </c>
      <c r="K285">
        <v>13324</v>
      </c>
      <c r="L285">
        <v>4</v>
      </c>
    </row>
    <row r="286" spans="1:12" x14ac:dyDescent="0.3">
      <c r="A286">
        <v>1285</v>
      </c>
      <c r="B286" s="1">
        <v>45139</v>
      </c>
      <c r="C286">
        <v>2023</v>
      </c>
      <c r="D286" t="s">
        <v>48</v>
      </c>
      <c r="E286" t="s">
        <v>13</v>
      </c>
      <c r="F286" t="s">
        <v>14</v>
      </c>
      <c r="G286" t="s">
        <v>15</v>
      </c>
      <c r="H286" t="s">
        <v>30</v>
      </c>
      <c r="I286" t="s">
        <v>23</v>
      </c>
      <c r="J286">
        <v>9409</v>
      </c>
      <c r="K286">
        <v>7971</v>
      </c>
      <c r="L286">
        <v>1</v>
      </c>
    </row>
    <row r="287" spans="1:12" x14ac:dyDescent="0.3">
      <c r="A287">
        <v>1286</v>
      </c>
      <c r="B287" s="1">
        <v>45558</v>
      </c>
      <c r="C287">
        <v>2024</v>
      </c>
      <c r="D287" t="s">
        <v>42</v>
      </c>
      <c r="E287" t="s">
        <v>19</v>
      </c>
      <c r="F287" t="s">
        <v>40</v>
      </c>
      <c r="G287" t="s">
        <v>40</v>
      </c>
      <c r="H287" t="s">
        <v>16</v>
      </c>
      <c r="I287" t="s">
        <v>17</v>
      </c>
      <c r="J287">
        <v>58288</v>
      </c>
      <c r="K287">
        <v>44058</v>
      </c>
      <c r="L287">
        <v>5</v>
      </c>
    </row>
    <row r="288" spans="1:12" x14ac:dyDescent="0.3">
      <c r="A288">
        <v>1287</v>
      </c>
      <c r="B288" s="1">
        <v>44977</v>
      </c>
      <c r="C288">
        <v>2023</v>
      </c>
      <c r="D288" t="s">
        <v>45</v>
      </c>
      <c r="E288" t="s">
        <v>24</v>
      </c>
      <c r="F288" t="s">
        <v>32</v>
      </c>
      <c r="G288" t="s">
        <v>33</v>
      </c>
      <c r="H288" t="s">
        <v>34</v>
      </c>
      <c r="I288" t="s">
        <v>23</v>
      </c>
      <c r="J288">
        <v>23905</v>
      </c>
      <c r="K288">
        <v>16420</v>
      </c>
      <c r="L288">
        <v>4</v>
      </c>
    </row>
    <row r="289" spans="1:12" x14ac:dyDescent="0.3">
      <c r="A289">
        <v>1288</v>
      </c>
      <c r="B289" s="1">
        <v>45461</v>
      </c>
      <c r="C289">
        <v>2024</v>
      </c>
      <c r="D289" t="s">
        <v>31</v>
      </c>
      <c r="E289" t="s">
        <v>13</v>
      </c>
      <c r="F289" t="s">
        <v>43</v>
      </c>
      <c r="G289" t="s">
        <v>44</v>
      </c>
      <c r="H289" t="s">
        <v>34</v>
      </c>
      <c r="I289" t="s">
        <v>23</v>
      </c>
      <c r="J289">
        <v>26471</v>
      </c>
      <c r="K289">
        <v>19247</v>
      </c>
      <c r="L289">
        <v>4</v>
      </c>
    </row>
    <row r="290" spans="1:12" x14ac:dyDescent="0.3">
      <c r="A290">
        <v>1289</v>
      </c>
      <c r="B290" s="1">
        <v>45193</v>
      </c>
      <c r="C290">
        <v>2023</v>
      </c>
      <c r="D290" t="s">
        <v>42</v>
      </c>
      <c r="E290" t="s">
        <v>19</v>
      </c>
      <c r="F290" t="s">
        <v>20</v>
      </c>
      <c r="G290" t="s">
        <v>21</v>
      </c>
      <c r="H290" t="s">
        <v>22</v>
      </c>
      <c r="I290" t="s">
        <v>23</v>
      </c>
      <c r="J290">
        <v>7168</v>
      </c>
      <c r="K290">
        <v>4364</v>
      </c>
      <c r="L290">
        <v>3</v>
      </c>
    </row>
    <row r="291" spans="1:12" x14ac:dyDescent="0.3">
      <c r="A291">
        <v>1290</v>
      </c>
      <c r="B291" s="1">
        <v>45289</v>
      </c>
      <c r="C291">
        <v>2023</v>
      </c>
      <c r="D291" t="s">
        <v>47</v>
      </c>
      <c r="E291" t="s">
        <v>19</v>
      </c>
      <c r="F291" t="s">
        <v>20</v>
      </c>
      <c r="G291" t="s">
        <v>21</v>
      </c>
      <c r="H291" t="s">
        <v>30</v>
      </c>
      <c r="I291" t="s">
        <v>23</v>
      </c>
      <c r="J291">
        <v>8520</v>
      </c>
      <c r="K291">
        <v>7205</v>
      </c>
      <c r="L291">
        <v>5</v>
      </c>
    </row>
    <row r="292" spans="1:12" x14ac:dyDescent="0.3">
      <c r="A292">
        <v>1291</v>
      </c>
      <c r="B292" s="1">
        <v>45588</v>
      </c>
      <c r="C292">
        <v>2024</v>
      </c>
      <c r="D292" t="s">
        <v>12</v>
      </c>
      <c r="E292" t="s">
        <v>19</v>
      </c>
      <c r="F292" t="s">
        <v>40</v>
      </c>
      <c r="G292" t="s">
        <v>40</v>
      </c>
      <c r="H292" t="s">
        <v>41</v>
      </c>
      <c r="I292" t="s">
        <v>23</v>
      </c>
      <c r="J292">
        <v>15799</v>
      </c>
      <c r="K292">
        <v>11696</v>
      </c>
      <c r="L292">
        <v>5</v>
      </c>
    </row>
    <row r="293" spans="1:12" x14ac:dyDescent="0.3">
      <c r="A293">
        <v>1292</v>
      </c>
      <c r="B293" s="1">
        <v>44993</v>
      </c>
      <c r="C293">
        <v>2023</v>
      </c>
      <c r="D293" t="s">
        <v>49</v>
      </c>
      <c r="E293" t="s">
        <v>24</v>
      </c>
      <c r="F293" t="s">
        <v>25</v>
      </c>
      <c r="G293" t="s">
        <v>29</v>
      </c>
      <c r="H293" t="s">
        <v>34</v>
      </c>
      <c r="I293" t="s">
        <v>23</v>
      </c>
      <c r="J293">
        <v>26666</v>
      </c>
      <c r="K293">
        <v>20148</v>
      </c>
      <c r="L293">
        <v>5</v>
      </c>
    </row>
    <row r="294" spans="1:12" x14ac:dyDescent="0.3">
      <c r="A294">
        <v>1293</v>
      </c>
      <c r="B294" s="1">
        <v>45369</v>
      </c>
      <c r="C294">
        <v>2024</v>
      </c>
      <c r="D294" t="s">
        <v>49</v>
      </c>
      <c r="E294" t="s">
        <v>19</v>
      </c>
      <c r="F294" t="s">
        <v>40</v>
      </c>
      <c r="G294" t="s">
        <v>40</v>
      </c>
      <c r="H294" t="s">
        <v>22</v>
      </c>
      <c r="I294" t="s">
        <v>23</v>
      </c>
      <c r="J294">
        <v>9702</v>
      </c>
      <c r="K294">
        <v>6715</v>
      </c>
      <c r="L294">
        <v>2</v>
      </c>
    </row>
    <row r="295" spans="1:12" x14ac:dyDescent="0.3">
      <c r="A295">
        <v>1294</v>
      </c>
      <c r="B295" s="1">
        <v>45230</v>
      </c>
      <c r="C295">
        <v>2023</v>
      </c>
      <c r="D295" t="s">
        <v>12</v>
      </c>
      <c r="E295" t="s">
        <v>24</v>
      </c>
      <c r="F295" t="s">
        <v>32</v>
      </c>
      <c r="G295" t="s">
        <v>33</v>
      </c>
      <c r="H295" t="s">
        <v>41</v>
      </c>
      <c r="I295" t="s">
        <v>23</v>
      </c>
      <c r="J295">
        <v>18340</v>
      </c>
      <c r="K295">
        <v>13994</v>
      </c>
      <c r="L295">
        <v>1</v>
      </c>
    </row>
    <row r="296" spans="1:12" x14ac:dyDescent="0.3">
      <c r="A296">
        <v>1295</v>
      </c>
      <c r="B296" s="1">
        <v>45347</v>
      </c>
      <c r="C296">
        <v>2024</v>
      </c>
      <c r="D296" t="s">
        <v>45</v>
      </c>
      <c r="E296" t="s">
        <v>24</v>
      </c>
      <c r="F296" t="s">
        <v>25</v>
      </c>
      <c r="G296" t="s">
        <v>26</v>
      </c>
      <c r="H296" t="s">
        <v>34</v>
      </c>
      <c r="I296" t="s">
        <v>23</v>
      </c>
      <c r="J296">
        <v>19013</v>
      </c>
      <c r="K296">
        <v>11691</v>
      </c>
      <c r="L296">
        <v>4</v>
      </c>
    </row>
    <row r="297" spans="1:12" x14ac:dyDescent="0.3">
      <c r="A297">
        <v>1296</v>
      </c>
      <c r="B297" s="1">
        <v>45134</v>
      </c>
      <c r="C297">
        <v>2023</v>
      </c>
      <c r="D297" t="s">
        <v>28</v>
      </c>
      <c r="E297" t="s">
        <v>24</v>
      </c>
      <c r="F297" t="s">
        <v>25</v>
      </c>
      <c r="G297" t="s">
        <v>29</v>
      </c>
      <c r="H297" t="s">
        <v>16</v>
      </c>
      <c r="I297" t="s">
        <v>17</v>
      </c>
      <c r="J297">
        <v>68259</v>
      </c>
      <c r="K297">
        <v>41274</v>
      </c>
      <c r="L297">
        <v>2</v>
      </c>
    </row>
    <row r="298" spans="1:12" x14ac:dyDescent="0.3">
      <c r="A298">
        <v>1297</v>
      </c>
      <c r="B298" s="1">
        <v>45044</v>
      </c>
      <c r="C298">
        <v>2023</v>
      </c>
      <c r="D298" t="s">
        <v>38</v>
      </c>
      <c r="E298" t="s">
        <v>13</v>
      </c>
      <c r="F298" t="s">
        <v>14</v>
      </c>
      <c r="G298" t="s">
        <v>15</v>
      </c>
      <c r="H298" t="s">
        <v>22</v>
      </c>
      <c r="I298" t="s">
        <v>23</v>
      </c>
      <c r="J298">
        <v>7288</v>
      </c>
      <c r="K298">
        <v>5560</v>
      </c>
      <c r="L298">
        <v>3</v>
      </c>
    </row>
    <row r="299" spans="1:12" x14ac:dyDescent="0.3">
      <c r="A299">
        <v>1298</v>
      </c>
      <c r="B299" s="1">
        <v>45345</v>
      </c>
      <c r="C299">
        <v>2024</v>
      </c>
      <c r="D299" t="s">
        <v>45</v>
      </c>
      <c r="E299" t="s">
        <v>19</v>
      </c>
      <c r="F299" t="s">
        <v>20</v>
      </c>
      <c r="G299" t="s">
        <v>21</v>
      </c>
      <c r="H299" t="s">
        <v>41</v>
      </c>
      <c r="I299" t="s">
        <v>23</v>
      </c>
      <c r="J299">
        <v>18544</v>
      </c>
      <c r="K299">
        <v>12491</v>
      </c>
      <c r="L299">
        <v>5</v>
      </c>
    </row>
    <row r="300" spans="1:12" x14ac:dyDescent="0.3">
      <c r="A300">
        <v>1299</v>
      </c>
      <c r="B300" s="1">
        <v>44960</v>
      </c>
      <c r="C300">
        <v>2023</v>
      </c>
      <c r="D300" t="s">
        <v>45</v>
      </c>
      <c r="E300" t="s">
        <v>13</v>
      </c>
      <c r="F300" t="s">
        <v>36</v>
      </c>
      <c r="G300" t="s">
        <v>37</v>
      </c>
      <c r="H300" t="s">
        <v>34</v>
      </c>
      <c r="I300" t="s">
        <v>23</v>
      </c>
      <c r="J300">
        <v>21496</v>
      </c>
      <c r="K300">
        <v>17640</v>
      </c>
      <c r="L300">
        <v>4</v>
      </c>
    </row>
    <row r="301" spans="1:12" x14ac:dyDescent="0.3">
      <c r="A301">
        <v>1300</v>
      </c>
      <c r="B301" s="1">
        <v>44970</v>
      </c>
      <c r="C301">
        <v>2023</v>
      </c>
      <c r="D301" t="s">
        <v>45</v>
      </c>
      <c r="E301" t="s">
        <v>19</v>
      </c>
      <c r="F301" t="s">
        <v>40</v>
      </c>
      <c r="G301" t="s">
        <v>40</v>
      </c>
      <c r="H301" t="s">
        <v>22</v>
      </c>
      <c r="I301" t="s">
        <v>23</v>
      </c>
      <c r="J301">
        <v>3583</v>
      </c>
      <c r="K301">
        <v>2595</v>
      </c>
      <c r="L301">
        <v>3</v>
      </c>
    </row>
    <row r="302" spans="1:12" x14ac:dyDescent="0.3">
      <c r="A302">
        <v>1301</v>
      </c>
      <c r="B302" s="1">
        <v>45425</v>
      </c>
      <c r="C302">
        <v>2024</v>
      </c>
      <c r="D302" t="s">
        <v>18</v>
      </c>
      <c r="E302" t="s">
        <v>13</v>
      </c>
      <c r="F302" t="s">
        <v>43</v>
      </c>
      <c r="G302" t="s">
        <v>44</v>
      </c>
      <c r="H302" t="s">
        <v>27</v>
      </c>
      <c r="I302" t="s">
        <v>17</v>
      </c>
      <c r="J302">
        <v>17087</v>
      </c>
      <c r="K302">
        <v>14324</v>
      </c>
      <c r="L302">
        <v>3</v>
      </c>
    </row>
    <row r="303" spans="1:12" x14ac:dyDescent="0.3">
      <c r="A303">
        <v>1302</v>
      </c>
      <c r="B303" s="1">
        <v>45349</v>
      </c>
      <c r="C303">
        <v>2024</v>
      </c>
      <c r="D303" t="s">
        <v>45</v>
      </c>
      <c r="E303" t="s">
        <v>13</v>
      </c>
      <c r="F303" t="s">
        <v>14</v>
      </c>
      <c r="G303" t="s">
        <v>15</v>
      </c>
      <c r="H303" t="s">
        <v>41</v>
      </c>
      <c r="I303" t="s">
        <v>23</v>
      </c>
      <c r="J303">
        <v>12565</v>
      </c>
      <c r="K303">
        <v>10432</v>
      </c>
      <c r="L303">
        <v>5</v>
      </c>
    </row>
    <row r="304" spans="1:12" x14ac:dyDescent="0.3">
      <c r="A304">
        <v>1303</v>
      </c>
      <c r="B304" s="1">
        <v>45498</v>
      </c>
      <c r="C304">
        <v>2024</v>
      </c>
      <c r="D304" t="s">
        <v>28</v>
      </c>
      <c r="E304" t="s">
        <v>19</v>
      </c>
      <c r="F304" t="s">
        <v>20</v>
      </c>
      <c r="G304" t="s">
        <v>21</v>
      </c>
      <c r="H304" t="s">
        <v>46</v>
      </c>
      <c r="I304" t="s">
        <v>17</v>
      </c>
      <c r="J304">
        <v>20104</v>
      </c>
      <c r="K304">
        <v>12717</v>
      </c>
      <c r="L304">
        <v>4</v>
      </c>
    </row>
    <row r="305" spans="1:12" x14ac:dyDescent="0.3">
      <c r="A305">
        <v>1304</v>
      </c>
      <c r="B305" s="1">
        <v>45240</v>
      </c>
      <c r="C305">
        <v>2023</v>
      </c>
      <c r="D305" t="s">
        <v>39</v>
      </c>
      <c r="E305" t="s">
        <v>19</v>
      </c>
      <c r="F305" t="s">
        <v>40</v>
      </c>
      <c r="G305" t="s">
        <v>40</v>
      </c>
      <c r="H305" t="s">
        <v>34</v>
      </c>
      <c r="I305" t="s">
        <v>23</v>
      </c>
      <c r="J305">
        <v>23869</v>
      </c>
      <c r="K305">
        <v>19579</v>
      </c>
      <c r="L305">
        <v>3</v>
      </c>
    </row>
    <row r="306" spans="1:12" x14ac:dyDescent="0.3">
      <c r="A306">
        <v>1305</v>
      </c>
      <c r="B306" s="1">
        <v>45599</v>
      </c>
      <c r="C306">
        <v>2024</v>
      </c>
      <c r="D306" t="s">
        <v>39</v>
      </c>
      <c r="E306" t="s">
        <v>24</v>
      </c>
      <c r="F306" t="s">
        <v>32</v>
      </c>
      <c r="G306" t="s">
        <v>33</v>
      </c>
      <c r="H306" t="s">
        <v>16</v>
      </c>
      <c r="I306" t="s">
        <v>17</v>
      </c>
      <c r="J306">
        <v>59150</v>
      </c>
      <c r="K306">
        <v>38969</v>
      </c>
      <c r="L306">
        <v>3</v>
      </c>
    </row>
    <row r="307" spans="1:12" x14ac:dyDescent="0.3">
      <c r="A307">
        <v>1306</v>
      </c>
      <c r="B307" s="1">
        <v>44946</v>
      </c>
      <c r="C307">
        <v>2023</v>
      </c>
      <c r="D307" t="s">
        <v>35</v>
      </c>
      <c r="E307" t="s">
        <v>13</v>
      </c>
      <c r="F307" t="s">
        <v>36</v>
      </c>
      <c r="G307" t="s">
        <v>37</v>
      </c>
      <c r="H307" t="s">
        <v>46</v>
      </c>
      <c r="I307" t="s">
        <v>17</v>
      </c>
      <c r="J307">
        <v>29186</v>
      </c>
      <c r="K307">
        <v>18337</v>
      </c>
      <c r="L307">
        <v>3</v>
      </c>
    </row>
    <row r="308" spans="1:12" x14ac:dyDescent="0.3">
      <c r="A308">
        <v>1307</v>
      </c>
      <c r="B308" s="1">
        <v>45471</v>
      </c>
      <c r="C308">
        <v>2024</v>
      </c>
      <c r="D308" t="s">
        <v>31</v>
      </c>
      <c r="E308" t="s">
        <v>24</v>
      </c>
      <c r="F308" t="s">
        <v>32</v>
      </c>
      <c r="G308" t="s">
        <v>33</v>
      </c>
      <c r="H308" t="s">
        <v>34</v>
      </c>
      <c r="I308" t="s">
        <v>23</v>
      </c>
      <c r="J308">
        <v>23492</v>
      </c>
      <c r="K308">
        <v>15485</v>
      </c>
      <c r="L308">
        <v>3</v>
      </c>
    </row>
    <row r="309" spans="1:12" x14ac:dyDescent="0.3">
      <c r="A309">
        <v>1308</v>
      </c>
      <c r="B309" s="1">
        <v>45413</v>
      </c>
      <c r="C309">
        <v>2024</v>
      </c>
      <c r="D309" t="s">
        <v>18</v>
      </c>
      <c r="E309" t="s">
        <v>24</v>
      </c>
      <c r="F309" t="s">
        <v>32</v>
      </c>
      <c r="G309" t="s">
        <v>33</v>
      </c>
      <c r="H309" t="s">
        <v>22</v>
      </c>
      <c r="I309" t="s">
        <v>23</v>
      </c>
      <c r="J309">
        <v>8594</v>
      </c>
      <c r="K309">
        <v>6305</v>
      </c>
      <c r="L309">
        <v>5</v>
      </c>
    </row>
    <row r="310" spans="1:12" x14ac:dyDescent="0.3">
      <c r="A310">
        <v>1309</v>
      </c>
      <c r="B310" s="1">
        <v>45158</v>
      </c>
      <c r="C310">
        <v>2023</v>
      </c>
      <c r="D310" t="s">
        <v>48</v>
      </c>
      <c r="E310" t="s">
        <v>19</v>
      </c>
      <c r="F310" t="s">
        <v>40</v>
      </c>
      <c r="G310" t="s">
        <v>40</v>
      </c>
      <c r="H310" t="s">
        <v>22</v>
      </c>
      <c r="I310" t="s">
        <v>23</v>
      </c>
      <c r="J310">
        <v>6073</v>
      </c>
      <c r="K310">
        <v>4167</v>
      </c>
      <c r="L310">
        <v>2</v>
      </c>
    </row>
    <row r="311" spans="1:12" x14ac:dyDescent="0.3">
      <c r="A311">
        <v>1310</v>
      </c>
      <c r="B311" s="1">
        <v>45414</v>
      </c>
      <c r="C311">
        <v>2024</v>
      </c>
      <c r="D311" t="s">
        <v>18</v>
      </c>
      <c r="E311" t="s">
        <v>24</v>
      </c>
      <c r="F311" t="s">
        <v>25</v>
      </c>
      <c r="G311" t="s">
        <v>29</v>
      </c>
      <c r="H311" t="s">
        <v>27</v>
      </c>
      <c r="I311" t="s">
        <v>17</v>
      </c>
      <c r="J311">
        <v>19402</v>
      </c>
      <c r="K311">
        <v>11747</v>
      </c>
      <c r="L311">
        <v>5</v>
      </c>
    </row>
    <row r="312" spans="1:12" x14ac:dyDescent="0.3">
      <c r="A312">
        <v>1311</v>
      </c>
      <c r="B312" s="1">
        <v>45374</v>
      </c>
      <c r="C312">
        <v>2024</v>
      </c>
      <c r="D312" t="s">
        <v>49</v>
      </c>
      <c r="E312" t="s">
        <v>24</v>
      </c>
      <c r="F312" t="s">
        <v>32</v>
      </c>
      <c r="G312" t="s">
        <v>33</v>
      </c>
      <c r="H312" t="s">
        <v>30</v>
      </c>
      <c r="I312" t="s">
        <v>23</v>
      </c>
      <c r="J312">
        <v>14730</v>
      </c>
      <c r="K312">
        <v>11520</v>
      </c>
      <c r="L312">
        <v>3</v>
      </c>
    </row>
    <row r="313" spans="1:12" x14ac:dyDescent="0.3">
      <c r="A313">
        <v>1312</v>
      </c>
      <c r="B313" s="1">
        <v>45543</v>
      </c>
      <c r="C313">
        <v>2024</v>
      </c>
      <c r="D313" t="s">
        <v>42</v>
      </c>
      <c r="E313" t="s">
        <v>19</v>
      </c>
      <c r="F313" t="s">
        <v>40</v>
      </c>
      <c r="G313" t="s">
        <v>40</v>
      </c>
      <c r="H313" t="s">
        <v>16</v>
      </c>
      <c r="I313" t="s">
        <v>17</v>
      </c>
      <c r="J313">
        <v>63220</v>
      </c>
      <c r="K313">
        <v>45988</v>
      </c>
      <c r="L313">
        <v>5</v>
      </c>
    </row>
    <row r="314" spans="1:12" x14ac:dyDescent="0.3">
      <c r="A314">
        <v>1313</v>
      </c>
      <c r="B314" s="1">
        <v>45549</v>
      </c>
      <c r="C314">
        <v>2024</v>
      </c>
      <c r="D314" t="s">
        <v>42</v>
      </c>
      <c r="E314" t="s">
        <v>19</v>
      </c>
      <c r="F314" t="s">
        <v>40</v>
      </c>
      <c r="G314" t="s">
        <v>40</v>
      </c>
      <c r="H314" t="s">
        <v>16</v>
      </c>
      <c r="I314" t="s">
        <v>17</v>
      </c>
      <c r="J314">
        <v>49898</v>
      </c>
      <c r="K314">
        <v>38641</v>
      </c>
      <c r="L314">
        <v>4</v>
      </c>
    </row>
    <row r="315" spans="1:12" x14ac:dyDescent="0.3">
      <c r="A315">
        <v>1314</v>
      </c>
      <c r="B315" s="1">
        <v>45275</v>
      </c>
      <c r="C315">
        <v>2023</v>
      </c>
      <c r="D315" t="s">
        <v>47</v>
      </c>
      <c r="E315" t="s">
        <v>19</v>
      </c>
      <c r="F315" t="s">
        <v>40</v>
      </c>
      <c r="G315" t="s">
        <v>40</v>
      </c>
      <c r="H315" t="s">
        <v>27</v>
      </c>
      <c r="I315" t="s">
        <v>17</v>
      </c>
      <c r="J315">
        <v>18726</v>
      </c>
      <c r="K315">
        <v>14565</v>
      </c>
      <c r="L315">
        <v>1</v>
      </c>
    </row>
    <row r="316" spans="1:12" x14ac:dyDescent="0.3">
      <c r="A316">
        <v>1315</v>
      </c>
      <c r="B316" s="1">
        <v>45107</v>
      </c>
      <c r="C316">
        <v>2023</v>
      </c>
      <c r="D316" t="s">
        <v>31</v>
      </c>
      <c r="E316" t="s">
        <v>24</v>
      </c>
      <c r="F316" t="s">
        <v>32</v>
      </c>
      <c r="G316" t="s">
        <v>33</v>
      </c>
      <c r="H316" t="s">
        <v>30</v>
      </c>
      <c r="I316" t="s">
        <v>23</v>
      </c>
      <c r="J316">
        <v>11216</v>
      </c>
      <c r="K316">
        <v>6763</v>
      </c>
      <c r="L316">
        <v>5</v>
      </c>
    </row>
    <row r="317" spans="1:12" x14ac:dyDescent="0.3">
      <c r="A317">
        <v>1316</v>
      </c>
      <c r="B317" s="1">
        <v>45481</v>
      </c>
      <c r="C317">
        <v>2024</v>
      </c>
      <c r="D317" t="s">
        <v>28</v>
      </c>
      <c r="E317" t="s">
        <v>19</v>
      </c>
      <c r="F317" t="s">
        <v>20</v>
      </c>
      <c r="G317" t="s">
        <v>21</v>
      </c>
      <c r="H317" t="s">
        <v>16</v>
      </c>
      <c r="I317" t="s">
        <v>17</v>
      </c>
      <c r="J317">
        <v>52631</v>
      </c>
      <c r="K317">
        <v>40823</v>
      </c>
      <c r="L317">
        <v>1</v>
      </c>
    </row>
    <row r="318" spans="1:12" x14ac:dyDescent="0.3">
      <c r="A318">
        <v>1317</v>
      </c>
      <c r="B318" s="1">
        <v>44963</v>
      </c>
      <c r="C318">
        <v>2023</v>
      </c>
      <c r="D318" t="s">
        <v>45</v>
      </c>
      <c r="E318" t="s">
        <v>13</v>
      </c>
      <c r="F318" t="s">
        <v>14</v>
      </c>
      <c r="G318" t="s">
        <v>15</v>
      </c>
      <c r="H318" t="s">
        <v>22</v>
      </c>
      <c r="I318" t="s">
        <v>23</v>
      </c>
      <c r="J318">
        <v>4649</v>
      </c>
      <c r="K318">
        <v>2893</v>
      </c>
      <c r="L318">
        <v>2</v>
      </c>
    </row>
    <row r="319" spans="1:12" x14ac:dyDescent="0.3">
      <c r="A319">
        <v>1318</v>
      </c>
      <c r="B319" s="1">
        <v>45032</v>
      </c>
      <c r="C319">
        <v>2023</v>
      </c>
      <c r="D319" t="s">
        <v>38</v>
      </c>
      <c r="E319" t="s">
        <v>19</v>
      </c>
      <c r="F319" t="s">
        <v>40</v>
      </c>
      <c r="G319" t="s">
        <v>40</v>
      </c>
      <c r="H319" t="s">
        <v>27</v>
      </c>
      <c r="I319" t="s">
        <v>17</v>
      </c>
      <c r="J319">
        <v>28414</v>
      </c>
      <c r="K319">
        <v>23998</v>
      </c>
      <c r="L319">
        <v>2</v>
      </c>
    </row>
    <row r="320" spans="1:12" x14ac:dyDescent="0.3">
      <c r="A320">
        <v>1319</v>
      </c>
      <c r="B320" s="1">
        <v>45053</v>
      </c>
      <c r="C320">
        <v>2023</v>
      </c>
      <c r="D320" t="s">
        <v>18</v>
      </c>
      <c r="E320" t="s">
        <v>24</v>
      </c>
      <c r="F320" t="s">
        <v>25</v>
      </c>
      <c r="G320" t="s">
        <v>29</v>
      </c>
      <c r="H320" t="s">
        <v>16</v>
      </c>
      <c r="I320" t="s">
        <v>17</v>
      </c>
      <c r="J320">
        <v>62891</v>
      </c>
      <c r="K320">
        <v>50213</v>
      </c>
      <c r="L320">
        <v>5</v>
      </c>
    </row>
    <row r="321" spans="1:12" x14ac:dyDescent="0.3">
      <c r="A321">
        <v>1320</v>
      </c>
      <c r="B321" s="1">
        <v>45329</v>
      </c>
      <c r="C321">
        <v>2024</v>
      </c>
      <c r="D321" t="s">
        <v>45</v>
      </c>
      <c r="E321" t="s">
        <v>19</v>
      </c>
      <c r="F321" t="s">
        <v>40</v>
      </c>
      <c r="G321" t="s">
        <v>40</v>
      </c>
      <c r="H321" t="s">
        <v>27</v>
      </c>
      <c r="I321" t="s">
        <v>17</v>
      </c>
      <c r="J321">
        <v>17218</v>
      </c>
      <c r="K321">
        <v>12989</v>
      </c>
      <c r="L321">
        <v>3</v>
      </c>
    </row>
    <row r="322" spans="1:12" x14ac:dyDescent="0.3">
      <c r="A322">
        <v>1321</v>
      </c>
      <c r="B322" s="1">
        <v>45118</v>
      </c>
      <c r="C322">
        <v>2023</v>
      </c>
      <c r="D322" t="s">
        <v>28</v>
      </c>
      <c r="E322" t="s">
        <v>13</v>
      </c>
      <c r="F322" t="s">
        <v>43</v>
      </c>
      <c r="G322" t="s">
        <v>44</v>
      </c>
      <c r="H322" t="s">
        <v>46</v>
      </c>
      <c r="I322" t="s">
        <v>17</v>
      </c>
      <c r="J322">
        <v>20415</v>
      </c>
      <c r="K322">
        <v>16535</v>
      </c>
      <c r="L322">
        <v>4</v>
      </c>
    </row>
    <row r="323" spans="1:12" x14ac:dyDescent="0.3">
      <c r="A323">
        <v>1322</v>
      </c>
      <c r="B323" s="1">
        <v>45193</v>
      </c>
      <c r="C323">
        <v>2023</v>
      </c>
      <c r="D323" t="s">
        <v>42</v>
      </c>
      <c r="E323" t="s">
        <v>13</v>
      </c>
      <c r="F323" t="s">
        <v>43</v>
      </c>
      <c r="G323" t="s">
        <v>44</v>
      </c>
      <c r="H323" t="s">
        <v>27</v>
      </c>
      <c r="I323" t="s">
        <v>17</v>
      </c>
      <c r="J323">
        <v>19179</v>
      </c>
      <c r="K323">
        <v>14287</v>
      </c>
      <c r="L323">
        <v>5</v>
      </c>
    </row>
    <row r="324" spans="1:12" x14ac:dyDescent="0.3">
      <c r="A324">
        <v>1323</v>
      </c>
      <c r="B324" s="1">
        <v>45223</v>
      </c>
      <c r="C324">
        <v>2023</v>
      </c>
      <c r="D324" t="s">
        <v>12</v>
      </c>
      <c r="E324" t="s">
        <v>24</v>
      </c>
      <c r="F324" t="s">
        <v>25</v>
      </c>
      <c r="G324" t="s">
        <v>29</v>
      </c>
      <c r="H324" t="s">
        <v>22</v>
      </c>
      <c r="I324" t="s">
        <v>23</v>
      </c>
      <c r="J324">
        <v>9862</v>
      </c>
      <c r="K324">
        <v>6704</v>
      </c>
      <c r="L324">
        <v>2</v>
      </c>
    </row>
    <row r="325" spans="1:12" x14ac:dyDescent="0.3">
      <c r="A325">
        <v>1324</v>
      </c>
      <c r="B325" s="1">
        <v>45337</v>
      </c>
      <c r="C325">
        <v>2024</v>
      </c>
      <c r="D325" t="s">
        <v>45</v>
      </c>
      <c r="E325" t="s">
        <v>13</v>
      </c>
      <c r="F325" t="s">
        <v>14</v>
      </c>
      <c r="G325" t="s">
        <v>15</v>
      </c>
      <c r="H325" t="s">
        <v>16</v>
      </c>
      <c r="I325" t="s">
        <v>17</v>
      </c>
      <c r="J325">
        <v>40103</v>
      </c>
      <c r="K325">
        <v>31923</v>
      </c>
      <c r="L325">
        <v>5</v>
      </c>
    </row>
    <row r="326" spans="1:12" x14ac:dyDescent="0.3">
      <c r="A326">
        <v>1325</v>
      </c>
      <c r="B326" s="1">
        <v>45467</v>
      </c>
      <c r="C326">
        <v>2024</v>
      </c>
      <c r="D326" t="s">
        <v>31</v>
      </c>
      <c r="E326" t="s">
        <v>13</v>
      </c>
      <c r="F326" t="s">
        <v>14</v>
      </c>
      <c r="G326" t="s">
        <v>15</v>
      </c>
      <c r="H326" t="s">
        <v>41</v>
      </c>
      <c r="I326" t="s">
        <v>23</v>
      </c>
      <c r="J326">
        <v>16234</v>
      </c>
      <c r="K326">
        <v>10322</v>
      </c>
      <c r="L326">
        <v>2</v>
      </c>
    </row>
    <row r="327" spans="1:12" x14ac:dyDescent="0.3">
      <c r="A327">
        <v>1326</v>
      </c>
      <c r="B327" s="1">
        <v>45096</v>
      </c>
      <c r="C327">
        <v>2023</v>
      </c>
      <c r="D327" t="s">
        <v>31</v>
      </c>
      <c r="E327" t="s">
        <v>13</v>
      </c>
      <c r="F327" t="s">
        <v>14</v>
      </c>
      <c r="G327" t="s">
        <v>15</v>
      </c>
      <c r="H327" t="s">
        <v>27</v>
      </c>
      <c r="I327" t="s">
        <v>17</v>
      </c>
      <c r="J327">
        <v>34632</v>
      </c>
      <c r="K327">
        <v>26072</v>
      </c>
      <c r="L327">
        <v>3</v>
      </c>
    </row>
    <row r="328" spans="1:12" x14ac:dyDescent="0.3">
      <c r="A328">
        <v>1327</v>
      </c>
      <c r="B328" s="1">
        <v>45010</v>
      </c>
      <c r="C328">
        <v>2023</v>
      </c>
      <c r="D328" t="s">
        <v>49</v>
      </c>
      <c r="E328" t="s">
        <v>13</v>
      </c>
      <c r="F328" t="s">
        <v>36</v>
      </c>
      <c r="G328" t="s">
        <v>37</v>
      </c>
      <c r="H328" t="s">
        <v>30</v>
      </c>
      <c r="I328" t="s">
        <v>23</v>
      </c>
      <c r="J328">
        <v>11889</v>
      </c>
      <c r="K328">
        <v>8130</v>
      </c>
      <c r="L328">
        <v>3</v>
      </c>
    </row>
    <row r="329" spans="1:12" x14ac:dyDescent="0.3">
      <c r="A329">
        <v>1328</v>
      </c>
      <c r="B329" s="1">
        <v>45523</v>
      </c>
      <c r="C329">
        <v>2024</v>
      </c>
      <c r="D329" t="s">
        <v>48</v>
      </c>
      <c r="E329" t="s">
        <v>19</v>
      </c>
      <c r="F329" t="s">
        <v>20</v>
      </c>
      <c r="G329" t="s">
        <v>21</v>
      </c>
      <c r="H329" t="s">
        <v>41</v>
      </c>
      <c r="I329" t="s">
        <v>23</v>
      </c>
      <c r="J329">
        <v>9736</v>
      </c>
      <c r="K329">
        <v>7144</v>
      </c>
      <c r="L329">
        <v>4</v>
      </c>
    </row>
    <row r="330" spans="1:12" x14ac:dyDescent="0.3">
      <c r="A330">
        <v>1329</v>
      </c>
      <c r="B330" s="1">
        <v>45149</v>
      </c>
      <c r="C330">
        <v>2023</v>
      </c>
      <c r="D330" t="s">
        <v>48</v>
      </c>
      <c r="E330" t="s">
        <v>13</v>
      </c>
      <c r="F330" t="s">
        <v>14</v>
      </c>
      <c r="G330" t="s">
        <v>15</v>
      </c>
      <c r="H330" t="s">
        <v>16</v>
      </c>
      <c r="I330" t="s">
        <v>17</v>
      </c>
      <c r="J330">
        <v>40312</v>
      </c>
      <c r="K330">
        <v>26344</v>
      </c>
      <c r="L330">
        <v>5</v>
      </c>
    </row>
    <row r="331" spans="1:12" x14ac:dyDescent="0.3">
      <c r="A331">
        <v>1330</v>
      </c>
      <c r="B331" s="1">
        <v>45539</v>
      </c>
      <c r="C331">
        <v>2024</v>
      </c>
      <c r="D331" t="s">
        <v>42</v>
      </c>
      <c r="E331" t="s">
        <v>19</v>
      </c>
      <c r="F331" t="s">
        <v>40</v>
      </c>
      <c r="G331" t="s">
        <v>40</v>
      </c>
      <c r="H331" t="s">
        <v>16</v>
      </c>
      <c r="I331" t="s">
        <v>17</v>
      </c>
      <c r="J331">
        <v>63951</v>
      </c>
      <c r="K331">
        <v>50294</v>
      </c>
      <c r="L331">
        <v>2</v>
      </c>
    </row>
    <row r="332" spans="1:12" x14ac:dyDescent="0.3">
      <c r="A332">
        <v>1331</v>
      </c>
      <c r="B332" s="1">
        <v>45222</v>
      </c>
      <c r="C332">
        <v>2023</v>
      </c>
      <c r="D332" t="s">
        <v>12</v>
      </c>
      <c r="E332" t="s">
        <v>13</v>
      </c>
      <c r="F332" t="s">
        <v>43</v>
      </c>
      <c r="G332" t="s">
        <v>44</v>
      </c>
      <c r="H332" t="s">
        <v>30</v>
      </c>
      <c r="I332" t="s">
        <v>23</v>
      </c>
      <c r="J332">
        <v>10876</v>
      </c>
      <c r="K332">
        <v>8036</v>
      </c>
      <c r="L332">
        <v>1</v>
      </c>
    </row>
    <row r="333" spans="1:12" x14ac:dyDescent="0.3">
      <c r="A333">
        <v>1332</v>
      </c>
      <c r="B333" s="1">
        <v>44970</v>
      </c>
      <c r="C333">
        <v>2023</v>
      </c>
      <c r="D333" t="s">
        <v>45</v>
      </c>
      <c r="E333" t="s">
        <v>24</v>
      </c>
      <c r="F333" t="s">
        <v>32</v>
      </c>
      <c r="G333" t="s">
        <v>33</v>
      </c>
      <c r="H333" t="s">
        <v>34</v>
      </c>
      <c r="I333" t="s">
        <v>23</v>
      </c>
      <c r="J333">
        <v>37890</v>
      </c>
      <c r="K333">
        <v>26698</v>
      </c>
      <c r="L333">
        <v>2</v>
      </c>
    </row>
    <row r="334" spans="1:12" x14ac:dyDescent="0.3">
      <c r="A334">
        <v>1333</v>
      </c>
      <c r="B334" s="1">
        <v>45053</v>
      </c>
      <c r="C334">
        <v>2023</v>
      </c>
      <c r="D334" t="s">
        <v>18</v>
      </c>
      <c r="E334" t="s">
        <v>13</v>
      </c>
      <c r="F334" t="s">
        <v>14</v>
      </c>
      <c r="G334" t="s">
        <v>15</v>
      </c>
      <c r="H334" t="s">
        <v>34</v>
      </c>
      <c r="I334" t="s">
        <v>23</v>
      </c>
      <c r="J334">
        <v>17361</v>
      </c>
      <c r="K334">
        <v>14009</v>
      </c>
      <c r="L334">
        <v>3</v>
      </c>
    </row>
    <row r="335" spans="1:12" x14ac:dyDescent="0.3">
      <c r="A335">
        <v>1334</v>
      </c>
      <c r="B335" s="1">
        <v>45358</v>
      </c>
      <c r="C335">
        <v>2024</v>
      </c>
      <c r="D335" t="s">
        <v>49</v>
      </c>
      <c r="E335" t="s">
        <v>24</v>
      </c>
      <c r="F335" t="s">
        <v>25</v>
      </c>
      <c r="G335" t="s">
        <v>29</v>
      </c>
      <c r="H335" t="s">
        <v>16</v>
      </c>
      <c r="I335" t="s">
        <v>17</v>
      </c>
      <c r="J335">
        <v>61903</v>
      </c>
      <c r="K335">
        <v>48178</v>
      </c>
      <c r="L335">
        <v>5</v>
      </c>
    </row>
    <row r="336" spans="1:12" x14ac:dyDescent="0.3">
      <c r="A336">
        <v>1335</v>
      </c>
      <c r="B336" s="1">
        <v>45351</v>
      </c>
      <c r="C336">
        <v>2024</v>
      </c>
      <c r="D336" t="s">
        <v>45</v>
      </c>
      <c r="E336" t="s">
        <v>24</v>
      </c>
      <c r="F336" t="s">
        <v>25</v>
      </c>
      <c r="G336" t="s">
        <v>29</v>
      </c>
      <c r="H336" t="s">
        <v>16</v>
      </c>
      <c r="I336" t="s">
        <v>17</v>
      </c>
      <c r="J336">
        <v>44887</v>
      </c>
      <c r="K336">
        <v>31870</v>
      </c>
      <c r="L336">
        <v>3</v>
      </c>
    </row>
    <row r="337" spans="1:12" x14ac:dyDescent="0.3">
      <c r="A337">
        <v>1336</v>
      </c>
      <c r="B337" s="1">
        <v>45285</v>
      </c>
      <c r="C337">
        <v>2023</v>
      </c>
      <c r="D337" t="s">
        <v>47</v>
      </c>
      <c r="E337" t="s">
        <v>13</v>
      </c>
      <c r="F337" t="s">
        <v>14</v>
      </c>
      <c r="G337" t="s">
        <v>15</v>
      </c>
      <c r="H337" t="s">
        <v>41</v>
      </c>
      <c r="I337" t="s">
        <v>23</v>
      </c>
      <c r="J337">
        <v>19702</v>
      </c>
      <c r="K337">
        <v>12504</v>
      </c>
      <c r="L337">
        <v>2</v>
      </c>
    </row>
    <row r="338" spans="1:12" x14ac:dyDescent="0.3">
      <c r="A338">
        <v>1337</v>
      </c>
      <c r="B338" s="1">
        <v>44957</v>
      </c>
      <c r="C338">
        <v>2023</v>
      </c>
      <c r="D338" t="s">
        <v>35</v>
      </c>
      <c r="E338" t="s">
        <v>24</v>
      </c>
      <c r="F338" t="s">
        <v>25</v>
      </c>
      <c r="G338" t="s">
        <v>29</v>
      </c>
      <c r="H338" t="s">
        <v>46</v>
      </c>
      <c r="I338" t="s">
        <v>17</v>
      </c>
      <c r="J338">
        <v>10411</v>
      </c>
      <c r="K338">
        <v>6952</v>
      </c>
      <c r="L338">
        <v>2</v>
      </c>
    </row>
    <row r="339" spans="1:12" x14ac:dyDescent="0.3">
      <c r="A339">
        <v>1338</v>
      </c>
      <c r="B339" s="1">
        <v>45342</v>
      </c>
      <c r="C339">
        <v>2024</v>
      </c>
      <c r="D339" t="s">
        <v>45</v>
      </c>
      <c r="E339" t="s">
        <v>24</v>
      </c>
      <c r="F339" t="s">
        <v>32</v>
      </c>
      <c r="G339" t="s">
        <v>33</v>
      </c>
      <c r="H339" t="s">
        <v>34</v>
      </c>
      <c r="I339" t="s">
        <v>23</v>
      </c>
      <c r="J339">
        <v>39316</v>
      </c>
      <c r="K339">
        <v>28045</v>
      </c>
      <c r="L339">
        <v>4</v>
      </c>
    </row>
    <row r="340" spans="1:12" x14ac:dyDescent="0.3">
      <c r="A340">
        <v>1339</v>
      </c>
      <c r="B340" s="1">
        <v>45100</v>
      </c>
      <c r="C340">
        <v>2023</v>
      </c>
      <c r="D340" t="s">
        <v>31</v>
      </c>
      <c r="E340" t="s">
        <v>13</v>
      </c>
      <c r="F340" t="s">
        <v>36</v>
      </c>
      <c r="G340" t="s">
        <v>37</v>
      </c>
      <c r="H340" t="s">
        <v>16</v>
      </c>
      <c r="I340" t="s">
        <v>17</v>
      </c>
      <c r="J340">
        <v>63678</v>
      </c>
      <c r="K340">
        <v>43255</v>
      </c>
      <c r="L340">
        <v>5</v>
      </c>
    </row>
    <row r="341" spans="1:12" x14ac:dyDescent="0.3">
      <c r="A341">
        <v>1340</v>
      </c>
      <c r="B341" s="1">
        <v>45126</v>
      </c>
      <c r="C341">
        <v>2023</v>
      </c>
      <c r="D341" t="s">
        <v>28</v>
      </c>
      <c r="E341" t="s">
        <v>24</v>
      </c>
      <c r="F341" t="s">
        <v>25</v>
      </c>
      <c r="G341" t="s">
        <v>29</v>
      </c>
      <c r="H341" t="s">
        <v>34</v>
      </c>
      <c r="I341" t="s">
        <v>23</v>
      </c>
      <c r="J341">
        <v>16840</v>
      </c>
      <c r="K341">
        <v>10382</v>
      </c>
      <c r="L341">
        <v>2</v>
      </c>
    </row>
    <row r="342" spans="1:12" x14ac:dyDescent="0.3">
      <c r="A342">
        <v>1341</v>
      </c>
      <c r="B342" s="1">
        <v>44995</v>
      </c>
      <c r="C342">
        <v>2023</v>
      </c>
      <c r="D342" t="s">
        <v>49</v>
      </c>
      <c r="E342" t="s">
        <v>13</v>
      </c>
      <c r="F342" t="s">
        <v>14</v>
      </c>
      <c r="G342" t="s">
        <v>15</v>
      </c>
      <c r="H342" t="s">
        <v>27</v>
      </c>
      <c r="I342" t="s">
        <v>17</v>
      </c>
      <c r="J342">
        <v>26000</v>
      </c>
      <c r="K342">
        <v>15701</v>
      </c>
      <c r="L342">
        <v>5</v>
      </c>
    </row>
    <row r="343" spans="1:12" x14ac:dyDescent="0.3">
      <c r="A343">
        <v>1342</v>
      </c>
      <c r="B343" s="1">
        <v>45404</v>
      </c>
      <c r="C343">
        <v>2024</v>
      </c>
      <c r="D343" t="s">
        <v>38</v>
      </c>
      <c r="E343" t="s">
        <v>19</v>
      </c>
      <c r="F343" t="s">
        <v>40</v>
      </c>
      <c r="G343" t="s">
        <v>40</v>
      </c>
      <c r="H343" t="s">
        <v>41</v>
      </c>
      <c r="I343" t="s">
        <v>23</v>
      </c>
      <c r="J343">
        <v>10371</v>
      </c>
      <c r="K343">
        <v>7071</v>
      </c>
      <c r="L343">
        <v>5</v>
      </c>
    </row>
    <row r="344" spans="1:12" x14ac:dyDescent="0.3">
      <c r="A344">
        <v>1343</v>
      </c>
      <c r="B344" s="1">
        <v>45215</v>
      </c>
      <c r="C344">
        <v>2023</v>
      </c>
      <c r="D344" t="s">
        <v>12</v>
      </c>
      <c r="E344" t="s">
        <v>24</v>
      </c>
      <c r="F344" t="s">
        <v>25</v>
      </c>
      <c r="G344" t="s">
        <v>26</v>
      </c>
      <c r="H344" t="s">
        <v>30</v>
      </c>
      <c r="I344" t="s">
        <v>23</v>
      </c>
      <c r="J344">
        <v>14814</v>
      </c>
      <c r="K344">
        <v>8992</v>
      </c>
      <c r="L344">
        <v>5</v>
      </c>
    </row>
    <row r="345" spans="1:12" x14ac:dyDescent="0.3">
      <c r="A345">
        <v>1344</v>
      </c>
      <c r="B345" s="1">
        <v>45123</v>
      </c>
      <c r="C345">
        <v>2023</v>
      </c>
      <c r="D345" t="s">
        <v>28</v>
      </c>
      <c r="E345" t="s">
        <v>13</v>
      </c>
      <c r="F345" t="s">
        <v>36</v>
      </c>
      <c r="G345" t="s">
        <v>37</v>
      </c>
      <c r="H345" t="s">
        <v>16</v>
      </c>
      <c r="I345" t="s">
        <v>17</v>
      </c>
      <c r="J345">
        <v>45128</v>
      </c>
      <c r="K345">
        <v>34652</v>
      </c>
      <c r="L345">
        <v>1</v>
      </c>
    </row>
    <row r="346" spans="1:12" x14ac:dyDescent="0.3">
      <c r="A346">
        <v>1345</v>
      </c>
      <c r="B346" s="1">
        <v>45500</v>
      </c>
      <c r="C346">
        <v>2024</v>
      </c>
      <c r="D346" t="s">
        <v>28</v>
      </c>
      <c r="E346" t="s">
        <v>13</v>
      </c>
      <c r="F346" t="s">
        <v>36</v>
      </c>
      <c r="G346" t="s">
        <v>37</v>
      </c>
      <c r="H346" t="s">
        <v>22</v>
      </c>
      <c r="I346" t="s">
        <v>23</v>
      </c>
      <c r="J346">
        <v>5873</v>
      </c>
      <c r="K346">
        <v>4670</v>
      </c>
      <c r="L346">
        <v>5</v>
      </c>
    </row>
    <row r="347" spans="1:12" x14ac:dyDescent="0.3">
      <c r="A347">
        <v>1346</v>
      </c>
      <c r="B347" s="1">
        <v>45618</v>
      </c>
      <c r="C347">
        <v>2024</v>
      </c>
      <c r="D347" t="s">
        <v>39</v>
      </c>
      <c r="E347" t="s">
        <v>19</v>
      </c>
      <c r="F347" t="s">
        <v>20</v>
      </c>
      <c r="G347" t="s">
        <v>21</v>
      </c>
      <c r="H347" t="s">
        <v>41</v>
      </c>
      <c r="I347" t="s">
        <v>23</v>
      </c>
      <c r="J347">
        <v>18677</v>
      </c>
      <c r="K347">
        <v>14736</v>
      </c>
      <c r="L347">
        <v>1</v>
      </c>
    </row>
    <row r="348" spans="1:12" x14ac:dyDescent="0.3">
      <c r="A348">
        <v>1347</v>
      </c>
      <c r="B348" s="1">
        <v>44976</v>
      </c>
      <c r="C348">
        <v>2023</v>
      </c>
      <c r="D348" t="s">
        <v>45</v>
      </c>
      <c r="E348" t="s">
        <v>19</v>
      </c>
      <c r="F348" t="s">
        <v>40</v>
      </c>
      <c r="G348" t="s">
        <v>40</v>
      </c>
      <c r="H348" t="s">
        <v>16</v>
      </c>
      <c r="I348" t="s">
        <v>17</v>
      </c>
      <c r="J348">
        <v>66734</v>
      </c>
      <c r="K348">
        <v>48100</v>
      </c>
      <c r="L348">
        <v>3</v>
      </c>
    </row>
    <row r="349" spans="1:12" x14ac:dyDescent="0.3">
      <c r="A349">
        <v>1348</v>
      </c>
      <c r="B349" s="1">
        <v>45620</v>
      </c>
      <c r="C349">
        <v>2024</v>
      </c>
      <c r="D349" t="s">
        <v>39</v>
      </c>
      <c r="E349" t="s">
        <v>13</v>
      </c>
      <c r="F349" t="s">
        <v>43</v>
      </c>
      <c r="G349" t="s">
        <v>44</v>
      </c>
      <c r="H349" t="s">
        <v>27</v>
      </c>
      <c r="I349" t="s">
        <v>17</v>
      </c>
      <c r="J349">
        <v>20339</v>
      </c>
      <c r="K349">
        <v>13672</v>
      </c>
      <c r="L349">
        <v>5</v>
      </c>
    </row>
    <row r="350" spans="1:12" x14ac:dyDescent="0.3">
      <c r="A350">
        <v>1349</v>
      </c>
      <c r="B350" s="1">
        <v>45420</v>
      </c>
      <c r="C350">
        <v>2024</v>
      </c>
      <c r="D350" t="s">
        <v>18</v>
      </c>
      <c r="E350" t="s">
        <v>19</v>
      </c>
      <c r="F350" t="s">
        <v>20</v>
      </c>
      <c r="G350" t="s">
        <v>21</v>
      </c>
      <c r="H350" t="s">
        <v>46</v>
      </c>
      <c r="I350" t="s">
        <v>17</v>
      </c>
      <c r="J350">
        <v>11621</v>
      </c>
      <c r="K350">
        <v>7526</v>
      </c>
      <c r="L350">
        <v>5</v>
      </c>
    </row>
    <row r="351" spans="1:12" x14ac:dyDescent="0.3">
      <c r="A351">
        <v>1350</v>
      </c>
      <c r="B351" s="1">
        <v>45536</v>
      </c>
      <c r="C351">
        <v>2024</v>
      </c>
      <c r="D351" t="s">
        <v>42</v>
      </c>
      <c r="E351" t="s">
        <v>13</v>
      </c>
      <c r="F351" t="s">
        <v>14</v>
      </c>
      <c r="G351" t="s">
        <v>15</v>
      </c>
      <c r="H351" t="s">
        <v>34</v>
      </c>
      <c r="I351" t="s">
        <v>23</v>
      </c>
      <c r="J351">
        <v>22158</v>
      </c>
      <c r="K351">
        <v>17906</v>
      </c>
      <c r="L351">
        <v>1</v>
      </c>
    </row>
    <row r="352" spans="1:12" x14ac:dyDescent="0.3">
      <c r="A352">
        <v>1351</v>
      </c>
      <c r="B352" s="1">
        <v>45084</v>
      </c>
      <c r="C352">
        <v>2023</v>
      </c>
      <c r="D352" t="s">
        <v>31</v>
      </c>
      <c r="E352" t="s">
        <v>13</v>
      </c>
      <c r="F352" t="s">
        <v>14</v>
      </c>
      <c r="G352" t="s">
        <v>15</v>
      </c>
      <c r="H352" t="s">
        <v>46</v>
      </c>
      <c r="I352" t="s">
        <v>17</v>
      </c>
      <c r="J352">
        <v>28045</v>
      </c>
      <c r="K352">
        <v>19492</v>
      </c>
      <c r="L352">
        <v>3</v>
      </c>
    </row>
    <row r="353" spans="1:12" x14ac:dyDescent="0.3">
      <c r="A353">
        <v>1352</v>
      </c>
      <c r="B353" s="1">
        <v>45180</v>
      </c>
      <c r="C353">
        <v>2023</v>
      </c>
      <c r="D353" t="s">
        <v>42</v>
      </c>
      <c r="E353" t="s">
        <v>13</v>
      </c>
      <c r="F353" t="s">
        <v>14</v>
      </c>
      <c r="G353" t="s">
        <v>15</v>
      </c>
      <c r="H353" t="s">
        <v>46</v>
      </c>
      <c r="I353" t="s">
        <v>17</v>
      </c>
      <c r="J353">
        <v>23508</v>
      </c>
      <c r="K353">
        <v>18308</v>
      </c>
      <c r="L353">
        <v>5</v>
      </c>
    </row>
    <row r="354" spans="1:12" x14ac:dyDescent="0.3">
      <c r="A354">
        <v>1353</v>
      </c>
      <c r="B354" s="1">
        <v>45471</v>
      </c>
      <c r="C354">
        <v>2024</v>
      </c>
      <c r="D354" t="s">
        <v>31</v>
      </c>
      <c r="E354" t="s">
        <v>24</v>
      </c>
      <c r="F354" t="s">
        <v>32</v>
      </c>
      <c r="G354" t="s">
        <v>33</v>
      </c>
      <c r="H354" t="s">
        <v>34</v>
      </c>
      <c r="I354" t="s">
        <v>23</v>
      </c>
      <c r="J354">
        <v>18711</v>
      </c>
      <c r="K354">
        <v>15115</v>
      </c>
      <c r="L354">
        <v>5</v>
      </c>
    </row>
    <row r="355" spans="1:12" x14ac:dyDescent="0.3">
      <c r="A355">
        <v>1354</v>
      </c>
      <c r="B355" s="1">
        <v>44992</v>
      </c>
      <c r="C355">
        <v>2023</v>
      </c>
      <c r="D355" t="s">
        <v>49</v>
      </c>
      <c r="E355" t="s">
        <v>19</v>
      </c>
      <c r="F355" t="s">
        <v>40</v>
      </c>
      <c r="G355" t="s">
        <v>40</v>
      </c>
      <c r="H355" t="s">
        <v>22</v>
      </c>
      <c r="I355" t="s">
        <v>23</v>
      </c>
      <c r="J355">
        <v>7506</v>
      </c>
      <c r="K355">
        <v>6375</v>
      </c>
      <c r="L355">
        <v>3</v>
      </c>
    </row>
    <row r="356" spans="1:12" x14ac:dyDescent="0.3">
      <c r="A356">
        <v>1355</v>
      </c>
      <c r="B356" s="1">
        <v>45122</v>
      </c>
      <c r="C356">
        <v>2023</v>
      </c>
      <c r="D356" t="s">
        <v>28</v>
      </c>
      <c r="E356" t="s">
        <v>24</v>
      </c>
      <c r="F356" t="s">
        <v>25</v>
      </c>
      <c r="G356" t="s">
        <v>26</v>
      </c>
      <c r="H356" t="s">
        <v>16</v>
      </c>
      <c r="I356" t="s">
        <v>17</v>
      </c>
      <c r="J356">
        <v>49567</v>
      </c>
      <c r="K356">
        <v>42069</v>
      </c>
      <c r="L356">
        <v>5</v>
      </c>
    </row>
    <row r="357" spans="1:12" x14ac:dyDescent="0.3">
      <c r="A357">
        <v>1356</v>
      </c>
      <c r="B357" s="1">
        <v>45338</v>
      </c>
      <c r="C357">
        <v>2024</v>
      </c>
      <c r="D357" t="s">
        <v>45</v>
      </c>
      <c r="E357" t="s">
        <v>24</v>
      </c>
      <c r="F357" t="s">
        <v>25</v>
      </c>
      <c r="G357" t="s">
        <v>29</v>
      </c>
      <c r="H357" t="s">
        <v>27</v>
      </c>
      <c r="I357" t="s">
        <v>17</v>
      </c>
      <c r="J357">
        <v>16370</v>
      </c>
      <c r="K357">
        <v>10459</v>
      </c>
      <c r="L357">
        <v>2</v>
      </c>
    </row>
    <row r="358" spans="1:12" x14ac:dyDescent="0.3">
      <c r="A358">
        <v>1357</v>
      </c>
      <c r="B358" s="1">
        <v>45137</v>
      </c>
      <c r="C358">
        <v>2023</v>
      </c>
      <c r="D358" t="s">
        <v>28</v>
      </c>
      <c r="E358" t="s">
        <v>24</v>
      </c>
      <c r="F358" t="s">
        <v>25</v>
      </c>
      <c r="G358" t="s">
        <v>26</v>
      </c>
      <c r="H358" t="s">
        <v>22</v>
      </c>
      <c r="I358" t="s">
        <v>23</v>
      </c>
      <c r="J358">
        <v>8807</v>
      </c>
      <c r="K358">
        <v>5511</v>
      </c>
      <c r="L358">
        <v>5</v>
      </c>
    </row>
    <row r="359" spans="1:12" x14ac:dyDescent="0.3">
      <c r="A359">
        <v>1358</v>
      </c>
      <c r="B359" s="1">
        <v>44937</v>
      </c>
      <c r="C359">
        <v>2023</v>
      </c>
      <c r="D359" t="s">
        <v>35</v>
      </c>
      <c r="E359" t="s">
        <v>13</v>
      </c>
      <c r="F359" t="s">
        <v>43</v>
      </c>
      <c r="G359" t="s">
        <v>44</v>
      </c>
      <c r="H359" t="s">
        <v>22</v>
      </c>
      <c r="I359" t="s">
        <v>23</v>
      </c>
      <c r="J359">
        <v>8296</v>
      </c>
      <c r="K359">
        <v>7014</v>
      </c>
      <c r="L359">
        <v>2</v>
      </c>
    </row>
    <row r="360" spans="1:12" x14ac:dyDescent="0.3">
      <c r="A360">
        <v>1359</v>
      </c>
      <c r="B360" s="1">
        <v>45052</v>
      </c>
      <c r="C360">
        <v>2023</v>
      </c>
      <c r="D360" t="s">
        <v>18</v>
      </c>
      <c r="E360" t="s">
        <v>24</v>
      </c>
      <c r="F360" t="s">
        <v>25</v>
      </c>
      <c r="G360" t="s">
        <v>29</v>
      </c>
      <c r="H360" t="s">
        <v>46</v>
      </c>
      <c r="I360" t="s">
        <v>17</v>
      </c>
      <c r="J360">
        <v>24944</v>
      </c>
      <c r="K360">
        <v>16334</v>
      </c>
      <c r="L360">
        <v>2</v>
      </c>
    </row>
    <row r="361" spans="1:12" x14ac:dyDescent="0.3">
      <c r="A361">
        <v>1360</v>
      </c>
      <c r="B361" s="1">
        <v>45585</v>
      </c>
      <c r="C361">
        <v>2024</v>
      </c>
      <c r="D361" t="s">
        <v>12</v>
      </c>
      <c r="E361" t="s">
        <v>24</v>
      </c>
      <c r="F361" t="s">
        <v>25</v>
      </c>
      <c r="G361" t="s">
        <v>26</v>
      </c>
      <c r="H361" t="s">
        <v>34</v>
      </c>
      <c r="I361" t="s">
        <v>23</v>
      </c>
      <c r="J361">
        <v>36601</v>
      </c>
      <c r="K361">
        <v>26479</v>
      </c>
      <c r="L361">
        <v>4</v>
      </c>
    </row>
    <row r="362" spans="1:12" x14ac:dyDescent="0.3">
      <c r="A362">
        <v>1361</v>
      </c>
      <c r="B362" s="1">
        <v>45410</v>
      </c>
      <c r="C362">
        <v>2024</v>
      </c>
      <c r="D362" t="s">
        <v>38</v>
      </c>
      <c r="E362" t="s">
        <v>24</v>
      </c>
      <c r="F362" t="s">
        <v>25</v>
      </c>
      <c r="G362" t="s">
        <v>29</v>
      </c>
      <c r="H362" t="s">
        <v>41</v>
      </c>
      <c r="I362" t="s">
        <v>23</v>
      </c>
      <c r="J362">
        <v>7540</v>
      </c>
      <c r="K362">
        <v>4592</v>
      </c>
      <c r="L362">
        <v>1</v>
      </c>
    </row>
    <row r="363" spans="1:12" x14ac:dyDescent="0.3">
      <c r="A363">
        <v>1362</v>
      </c>
      <c r="B363" s="1">
        <v>45305</v>
      </c>
      <c r="C363">
        <v>2024</v>
      </c>
      <c r="D363" t="s">
        <v>35</v>
      </c>
      <c r="E363" t="s">
        <v>24</v>
      </c>
      <c r="F363" t="s">
        <v>32</v>
      </c>
      <c r="G363" t="s">
        <v>33</v>
      </c>
      <c r="H363" t="s">
        <v>27</v>
      </c>
      <c r="I363" t="s">
        <v>17</v>
      </c>
      <c r="J363">
        <v>18533</v>
      </c>
      <c r="K363">
        <v>12424</v>
      </c>
      <c r="L363">
        <v>4</v>
      </c>
    </row>
    <row r="364" spans="1:12" x14ac:dyDescent="0.3">
      <c r="A364">
        <v>1363</v>
      </c>
      <c r="B364" s="1">
        <v>45238</v>
      </c>
      <c r="C364">
        <v>2023</v>
      </c>
      <c r="D364" t="s">
        <v>39</v>
      </c>
      <c r="E364" t="s">
        <v>13</v>
      </c>
      <c r="F364" t="s">
        <v>14</v>
      </c>
      <c r="G364" t="s">
        <v>15</v>
      </c>
      <c r="H364" t="s">
        <v>30</v>
      </c>
      <c r="I364" t="s">
        <v>23</v>
      </c>
      <c r="J364">
        <v>10965</v>
      </c>
      <c r="K364">
        <v>6995</v>
      </c>
      <c r="L364">
        <v>3</v>
      </c>
    </row>
    <row r="365" spans="1:12" x14ac:dyDescent="0.3">
      <c r="A365">
        <v>1364</v>
      </c>
      <c r="B365" s="1">
        <v>45044</v>
      </c>
      <c r="C365">
        <v>2023</v>
      </c>
      <c r="D365" t="s">
        <v>38</v>
      </c>
      <c r="E365" t="s">
        <v>19</v>
      </c>
      <c r="F365" t="s">
        <v>20</v>
      </c>
      <c r="G365" t="s">
        <v>21</v>
      </c>
      <c r="H365" t="s">
        <v>30</v>
      </c>
      <c r="I365" t="s">
        <v>23</v>
      </c>
      <c r="J365">
        <v>13359</v>
      </c>
      <c r="K365">
        <v>10616</v>
      </c>
      <c r="L365">
        <v>1</v>
      </c>
    </row>
    <row r="366" spans="1:12" x14ac:dyDescent="0.3">
      <c r="A366">
        <v>1365</v>
      </c>
      <c r="B366" s="1">
        <v>45571</v>
      </c>
      <c r="C366">
        <v>2024</v>
      </c>
      <c r="D366" t="s">
        <v>12</v>
      </c>
      <c r="E366" t="s">
        <v>19</v>
      </c>
      <c r="F366" t="s">
        <v>20</v>
      </c>
      <c r="G366" t="s">
        <v>21</v>
      </c>
      <c r="H366" t="s">
        <v>16</v>
      </c>
      <c r="I366" t="s">
        <v>17</v>
      </c>
      <c r="J366">
        <v>50830</v>
      </c>
      <c r="K366">
        <v>40276</v>
      </c>
      <c r="L366">
        <v>3</v>
      </c>
    </row>
    <row r="367" spans="1:12" x14ac:dyDescent="0.3">
      <c r="A367">
        <v>1366</v>
      </c>
      <c r="B367" s="1">
        <v>45169</v>
      </c>
      <c r="C367">
        <v>2023</v>
      </c>
      <c r="D367" t="s">
        <v>48</v>
      </c>
      <c r="E367" t="s">
        <v>19</v>
      </c>
      <c r="F367" t="s">
        <v>20</v>
      </c>
      <c r="G367" t="s">
        <v>21</v>
      </c>
      <c r="H367" t="s">
        <v>34</v>
      </c>
      <c r="I367" t="s">
        <v>23</v>
      </c>
      <c r="J367">
        <v>32658</v>
      </c>
      <c r="K367">
        <v>25679</v>
      </c>
      <c r="L367">
        <v>3</v>
      </c>
    </row>
    <row r="368" spans="1:12" x14ac:dyDescent="0.3">
      <c r="A368">
        <v>1367</v>
      </c>
      <c r="B368" s="1">
        <v>45369</v>
      </c>
      <c r="C368">
        <v>2024</v>
      </c>
      <c r="D368" t="s">
        <v>49</v>
      </c>
      <c r="E368" t="s">
        <v>24</v>
      </c>
      <c r="F368" t="s">
        <v>25</v>
      </c>
      <c r="G368" t="s">
        <v>26</v>
      </c>
      <c r="H368" t="s">
        <v>16</v>
      </c>
      <c r="I368" t="s">
        <v>17</v>
      </c>
      <c r="J368">
        <v>47257</v>
      </c>
      <c r="K368">
        <v>29386</v>
      </c>
      <c r="L368">
        <v>5</v>
      </c>
    </row>
    <row r="369" spans="1:12" x14ac:dyDescent="0.3">
      <c r="A369">
        <v>1368</v>
      </c>
      <c r="B369" s="1">
        <v>45205</v>
      </c>
      <c r="C369">
        <v>2023</v>
      </c>
      <c r="D369" t="s">
        <v>12</v>
      </c>
      <c r="E369" t="s">
        <v>19</v>
      </c>
      <c r="F369" t="s">
        <v>20</v>
      </c>
      <c r="G369" t="s">
        <v>21</v>
      </c>
      <c r="H369" t="s">
        <v>22</v>
      </c>
      <c r="I369" t="s">
        <v>23</v>
      </c>
      <c r="J369">
        <v>4405</v>
      </c>
      <c r="K369">
        <v>3557</v>
      </c>
      <c r="L369">
        <v>3</v>
      </c>
    </row>
    <row r="370" spans="1:12" x14ac:dyDescent="0.3">
      <c r="A370">
        <v>1369</v>
      </c>
      <c r="B370" s="1">
        <v>45069</v>
      </c>
      <c r="C370">
        <v>2023</v>
      </c>
      <c r="D370" t="s">
        <v>18</v>
      </c>
      <c r="E370" t="s">
        <v>13</v>
      </c>
      <c r="F370" t="s">
        <v>43</v>
      </c>
      <c r="G370" t="s">
        <v>44</v>
      </c>
      <c r="H370" t="s">
        <v>30</v>
      </c>
      <c r="I370" t="s">
        <v>23</v>
      </c>
      <c r="J370">
        <v>10368</v>
      </c>
      <c r="K370">
        <v>6584</v>
      </c>
      <c r="L370">
        <v>3</v>
      </c>
    </row>
    <row r="371" spans="1:12" x14ac:dyDescent="0.3">
      <c r="A371">
        <v>1370</v>
      </c>
      <c r="B371" s="1">
        <v>45021</v>
      </c>
      <c r="C371">
        <v>2023</v>
      </c>
      <c r="D371" t="s">
        <v>38</v>
      </c>
      <c r="E371" t="s">
        <v>13</v>
      </c>
      <c r="F371" t="s">
        <v>14</v>
      </c>
      <c r="G371" t="s">
        <v>15</v>
      </c>
      <c r="H371" t="s">
        <v>34</v>
      </c>
      <c r="I371" t="s">
        <v>23</v>
      </c>
      <c r="J371">
        <v>28033</v>
      </c>
      <c r="K371">
        <v>19335</v>
      </c>
      <c r="L371">
        <v>2</v>
      </c>
    </row>
    <row r="372" spans="1:12" x14ac:dyDescent="0.3">
      <c r="A372">
        <v>1371</v>
      </c>
      <c r="B372" s="1">
        <v>45293</v>
      </c>
      <c r="C372">
        <v>2024</v>
      </c>
      <c r="D372" t="s">
        <v>35</v>
      </c>
      <c r="E372" t="s">
        <v>24</v>
      </c>
      <c r="F372" t="s">
        <v>25</v>
      </c>
      <c r="G372" t="s">
        <v>29</v>
      </c>
      <c r="H372" t="s">
        <v>30</v>
      </c>
      <c r="I372" t="s">
        <v>23</v>
      </c>
      <c r="J372">
        <v>12346</v>
      </c>
      <c r="K372">
        <v>10319</v>
      </c>
      <c r="L372">
        <v>1</v>
      </c>
    </row>
    <row r="373" spans="1:12" x14ac:dyDescent="0.3">
      <c r="A373">
        <v>1372</v>
      </c>
      <c r="B373" s="1">
        <v>45547</v>
      </c>
      <c r="C373">
        <v>2024</v>
      </c>
      <c r="D373" t="s">
        <v>42</v>
      </c>
      <c r="E373" t="s">
        <v>19</v>
      </c>
      <c r="F373" t="s">
        <v>40</v>
      </c>
      <c r="G373" t="s">
        <v>40</v>
      </c>
      <c r="H373" t="s">
        <v>22</v>
      </c>
      <c r="I373" t="s">
        <v>23</v>
      </c>
      <c r="J373">
        <v>3397</v>
      </c>
      <c r="K373">
        <v>2668</v>
      </c>
      <c r="L373">
        <v>2</v>
      </c>
    </row>
    <row r="374" spans="1:12" x14ac:dyDescent="0.3">
      <c r="A374">
        <v>1373</v>
      </c>
      <c r="B374" s="1">
        <v>44953</v>
      </c>
      <c r="C374">
        <v>2023</v>
      </c>
      <c r="D374" t="s">
        <v>35</v>
      </c>
      <c r="E374" t="s">
        <v>19</v>
      </c>
      <c r="F374" t="s">
        <v>20</v>
      </c>
      <c r="G374" t="s">
        <v>21</v>
      </c>
      <c r="H374" t="s">
        <v>41</v>
      </c>
      <c r="I374" t="s">
        <v>23</v>
      </c>
      <c r="J374">
        <v>9869</v>
      </c>
      <c r="K374">
        <v>6473</v>
      </c>
      <c r="L374">
        <v>1</v>
      </c>
    </row>
    <row r="375" spans="1:12" x14ac:dyDescent="0.3">
      <c r="A375">
        <v>1374</v>
      </c>
      <c r="B375" s="1">
        <v>45646</v>
      </c>
      <c r="C375">
        <v>2024</v>
      </c>
      <c r="D375" t="s">
        <v>47</v>
      </c>
      <c r="E375" t="s">
        <v>13</v>
      </c>
      <c r="F375" t="s">
        <v>43</v>
      </c>
      <c r="G375" t="s">
        <v>44</v>
      </c>
      <c r="H375" t="s">
        <v>34</v>
      </c>
      <c r="I375" t="s">
        <v>23</v>
      </c>
      <c r="J375">
        <v>24101</v>
      </c>
      <c r="K375">
        <v>16763</v>
      </c>
      <c r="L375">
        <v>4</v>
      </c>
    </row>
    <row r="376" spans="1:12" x14ac:dyDescent="0.3">
      <c r="A376">
        <v>1375</v>
      </c>
      <c r="B376" s="1">
        <v>45351</v>
      </c>
      <c r="C376">
        <v>2024</v>
      </c>
      <c r="D376" t="s">
        <v>45</v>
      </c>
      <c r="E376" t="s">
        <v>24</v>
      </c>
      <c r="F376" t="s">
        <v>25</v>
      </c>
      <c r="G376" t="s">
        <v>26</v>
      </c>
      <c r="H376" t="s">
        <v>27</v>
      </c>
      <c r="I376" t="s">
        <v>17</v>
      </c>
      <c r="J376">
        <v>25593</v>
      </c>
      <c r="K376">
        <v>20999</v>
      </c>
      <c r="L376">
        <v>2</v>
      </c>
    </row>
    <row r="377" spans="1:12" x14ac:dyDescent="0.3">
      <c r="A377">
        <v>1376</v>
      </c>
      <c r="B377" s="1">
        <v>45405</v>
      </c>
      <c r="C377">
        <v>2024</v>
      </c>
      <c r="D377" t="s">
        <v>38</v>
      </c>
      <c r="E377" t="s">
        <v>13</v>
      </c>
      <c r="F377" t="s">
        <v>36</v>
      </c>
      <c r="G377" t="s">
        <v>37</v>
      </c>
      <c r="H377" t="s">
        <v>27</v>
      </c>
      <c r="I377" t="s">
        <v>17</v>
      </c>
      <c r="J377">
        <v>20222</v>
      </c>
      <c r="K377">
        <v>13167</v>
      </c>
      <c r="L377">
        <v>5</v>
      </c>
    </row>
    <row r="378" spans="1:12" x14ac:dyDescent="0.3">
      <c r="A378">
        <v>1377</v>
      </c>
      <c r="B378" s="1">
        <v>45343</v>
      </c>
      <c r="C378">
        <v>2024</v>
      </c>
      <c r="D378" t="s">
        <v>45</v>
      </c>
      <c r="E378" t="s">
        <v>24</v>
      </c>
      <c r="F378" t="s">
        <v>25</v>
      </c>
      <c r="G378" t="s">
        <v>26</v>
      </c>
      <c r="H378" t="s">
        <v>22</v>
      </c>
      <c r="I378" t="s">
        <v>23</v>
      </c>
      <c r="J378">
        <v>6010</v>
      </c>
      <c r="K378">
        <v>3712</v>
      </c>
      <c r="L378">
        <v>3</v>
      </c>
    </row>
    <row r="379" spans="1:12" x14ac:dyDescent="0.3">
      <c r="A379">
        <v>1378</v>
      </c>
      <c r="B379" s="1">
        <v>45317</v>
      </c>
      <c r="C379">
        <v>2024</v>
      </c>
      <c r="D379" t="s">
        <v>35</v>
      </c>
      <c r="E379" t="s">
        <v>13</v>
      </c>
      <c r="F379" t="s">
        <v>43</v>
      </c>
      <c r="G379" t="s">
        <v>44</v>
      </c>
      <c r="H379" t="s">
        <v>46</v>
      </c>
      <c r="I379" t="s">
        <v>17</v>
      </c>
      <c r="J379">
        <v>14359</v>
      </c>
      <c r="K379">
        <v>10039</v>
      </c>
      <c r="L379">
        <v>2</v>
      </c>
    </row>
    <row r="380" spans="1:12" x14ac:dyDescent="0.3">
      <c r="A380">
        <v>1379</v>
      </c>
      <c r="B380" s="1">
        <v>45383</v>
      </c>
      <c r="C380">
        <v>2024</v>
      </c>
      <c r="D380" t="s">
        <v>38</v>
      </c>
      <c r="E380" t="s">
        <v>13</v>
      </c>
      <c r="F380" t="s">
        <v>14</v>
      </c>
      <c r="G380" t="s">
        <v>15</v>
      </c>
      <c r="H380" t="s">
        <v>46</v>
      </c>
      <c r="I380" t="s">
        <v>17</v>
      </c>
      <c r="J380">
        <v>12770</v>
      </c>
      <c r="K380">
        <v>10385</v>
      </c>
      <c r="L380">
        <v>3</v>
      </c>
    </row>
    <row r="381" spans="1:12" x14ac:dyDescent="0.3">
      <c r="A381">
        <v>1380</v>
      </c>
      <c r="B381" s="1">
        <v>45041</v>
      </c>
      <c r="C381">
        <v>2023</v>
      </c>
      <c r="D381" t="s">
        <v>38</v>
      </c>
      <c r="E381" t="s">
        <v>13</v>
      </c>
      <c r="F381" t="s">
        <v>14</v>
      </c>
      <c r="G381" t="s">
        <v>15</v>
      </c>
      <c r="H381" t="s">
        <v>16</v>
      </c>
      <c r="I381" t="s">
        <v>17</v>
      </c>
      <c r="J381">
        <v>46733</v>
      </c>
      <c r="K381">
        <v>28622</v>
      </c>
      <c r="L381">
        <v>3</v>
      </c>
    </row>
    <row r="382" spans="1:12" x14ac:dyDescent="0.3">
      <c r="A382">
        <v>1381</v>
      </c>
      <c r="B382" s="1">
        <v>45351</v>
      </c>
      <c r="C382">
        <v>2024</v>
      </c>
      <c r="D382" t="s">
        <v>45</v>
      </c>
      <c r="E382" t="s">
        <v>13</v>
      </c>
      <c r="F382" t="s">
        <v>43</v>
      </c>
      <c r="G382" t="s">
        <v>44</v>
      </c>
      <c r="H382" t="s">
        <v>46</v>
      </c>
      <c r="I382" t="s">
        <v>17</v>
      </c>
      <c r="J382">
        <v>13312</v>
      </c>
      <c r="K382">
        <v>10715</v>
      </c>
      <c r="L382">
        <v>3</v>
      </c>
    </row>
    <row r="383" spans="1:12" x14ac:dyDescent="0.3">
      <c r="A383">
        <v>1382</v>
      </c>
      <c r="B383" s="1">
        <v>45076</v>
      </c>
      <c r="C383">
        <v>2023</v>
      </c>
      <c r="D383" t="s">
        <v>18</v>
      </c>
      <c r="E383" t="s">
        <v>24</v>
      </c>
      <c r="F383" t="s">
        <v>25</v>
      </c>
      <c r="G383" t="s">
        <v>29</v>
      </c>
      <c r="H383" t="s">
        <v>34</v>
      </c>
      <c r="I383" t="s">
        <v>23</v>
      </c>
      <c r="J383">
        <v>15833</v>
      </c>
      <c r="K383">
        <v>11372</v>
      </c>
      <c r="L383">
        <v>4</v>
      </c>
    </row>
    <row r="384" spans="1:12" x14ac:dyDescent="0.3">
      <c r="A384">
        <v>1383</v>
      </c>
      <c r="B384" s="1">
        <v>45195</v>
      </c>
      <c r="C384">
        <v>2023</v>
      </c>
      <c r="D384" t="s">
        <v>42</v>
      </c>
      <c r="E384" t="s">
        <v>24</v>
      </c>
      <c r="F384" t="s">
        <v>32</v>
      </c>
      <c r="G384" t="s">
        <v>33</v>
      </c>
      <c r="H384" t="s">
        <v>34</v>
      </c>
      <c r="I384" t="s">
        <v>23</v>
      </c>
      <c r="J384">
        <v>29858</v>
      </c>
      <c r="K384">
        <v>20357</v>
      </c>
      <c r="L384">
        <v>1</v>
      </c>
    </row>
    <row r="385" spans="1:12" x14ac:dyDescent="0.3">
      <c r="A385">
        <v>1384</v>
      </c>
      <c r="B385" s="1">
        <v>45503</v>
      </c>
      <c r="C385">
        <v>2024</v>
      </c>
      <c r="D385" t="s">
        <v>28</v>
      </c>
      <c r="E385" t="s">
        <v>19</v>
      </c>
      <c r="F385" t="s">
        <v>20</v>
      </c>
      <c r="G385" t="s">
        <v>21</v>
      </c>
      <c r="H385" t="s">
        <v>41</v>
      </c>
      <c r="I385" t="s">
        <v>23</v>
      </c>
      <c r="J385">
        <v>12077</v>
      </c>
      <c r="K385">
        <v>9485</v>
      </c>
      <c r="L385">
        <v>5</v>
      </c>
    </row>
    <row r="386" spans="1:12" x14ac:dyDescent="0.3">
      <c r="A386">
        <v>1385</v>
      </c>
      <c r="B386" s="1">
        <v>45541</v>
      </c>
      <c r="C386">
        <v>2024</v>
      </c>
      <c r="D386" t="s">
        <v>42</v>
      </c>
      <c r="E386" t="s">
        <v>13</v>
      </c>
      <c r="F386" t="s">
        <v>43</v>
      </c>
      <c r="G386" t="s">
        <v>44</v>
      </c>
      <c r="H386" t="s">
        <v>16</v>
      </c>
      <c r="I386" t="s">
        <v>17</v>
      </c>
      <c r="J386">
        <v>48240</v>
      </c>
      <c r="K386">
        <v>32569</v>
      </c>
      <c r="L386">
        <v>2</v>
      </c>
    </row>
    <row r="387" spans="1:12" x14ac:dyDescent="0.3">
      <c r="A387">
        <v>1386</v>
      </c>
      <c r="B387" s="1">
        <v>45356</v>
      </c>
      <c r="C387">
        <v>2024</v>
      </c>
      <c r="D387" t="s">
        <v>49</v>
      </c>
      <c r="E387" t="s">
        <v>19</v>
      </c>
      <c r="F387" t="s">
        <v>20</v>
      </c>
      <c r="G387" t="s">
        <v>21</v>
      </c>
      <c r="H387" t="s">
        <v>16</v>
      </c>
      <c r="I387" t="s">
        <v>17</v>
      </c>
      <c r="J387">
        <v>54754</v>
      </c>
      <c r="K387">
        <v>41054</v>
      </c>
      <c r="L387">
        <v>4</v>
      </c>
    </row>
    <row r="388" spans="1:12" x14ac:dyDescent="0.3">
      <c r="A388">
        <v>1387</v>
      </c>
      <c r="B388" s="1">
        <v>45289</v>
      </c>
      <c r="C388">
        <v>2023</v>
      </c>
      <c r="D388" t="s">
        <v>47</v>
      </c>
      <c r="E388" t="s">
        <v>24</v>
      </c>
      <c r="F388" t="s">
        <v>25</v>
      </c>
      <c r="G388" t="s">
        <v>29</v>
      </c>
      <c r="H388" t="s">
        <v>22</v>
      </c>
      <c r="I388" t="s">
        <v>23</v>
      </c>
      <c r="J388">
        <v>9873</v>
      </c>
      <c r="K388">
        <v>6542</v>
      </c>
      <c r="L388">
        <v>1</v>
      </c>
    </row>
    <row r="389" spans="1:12" x14ac:dyDescent="0.3">
      <c r="A389">
        <v>1388</v>
      </c>
      <c r="B389" s="1">
        <v>45482</v>
      </c>
      <c r="C389">
        <v>2024</v>
      </c>
      <c r="D389" t="s">
        <v>28</v>
      </c>
      <c r="E389" t="s">
        <v>13</v>
      </c>
      <c r="F389" t="s">
        <v>14</v>
      </c>
      <c r="G389" t="s">
        <v>15</v>
      </c>
      <c r="H389" t="s">
        <v>16</v>
      </c>
      <c r="I389" t="s">
        <v>17</v>
      </c>
      <c r="J389">
        <v>50051</v>
      </c>
      <c r="K389">
        <v>32620</v>
      </c>
      <c r="L389">
        <v>5</v>
      </c>
    </row>
    <row r="390" spans="1:12" x14ac:dyDescent="0.3">
      <c r="A390">
        <v>1389</v>
      </c>
      <c r="B390" s="1">
        <v>45143</v>
      </c>
      <c r="C390">
        <v>2023</v>
      </c>
      <c r="D390" t="s">
        <v>48</v>
      </c>
      <c r="E390" t="s">
        <v>19</v>
      </c>
      <c r="F390" t="s">
        <v>20</v>
      </c>
      <c r="G390" t="s">
        <v>21</v>
      </c>
      <c r="H390" t="s">
        <v>27</v>
      </c>
      <c r="I390" t="s">
        <v>17</v>
      </c>
      <c r="J390">
        <v>17130</v>
      </c>
      <c r="K390">
        <v>10470</v>
      </c>
      <c r="L390">
        <v>5</v>
      </c>
    </row>
    <row r="391" spans="1:12" x14ac:dyDescent="0.3">
      <c r="A391">
        <v>1390</v>
      </c>
      <c r="B391" s="1">
        <v>45654</v>
      </c>
      <c r="C391">
        <v>2024</v>
      </c>
      <c r="D391" t="s">
        <v>47</v>
      </c>
      <c r="E391" t="s">
        <v>24</v>
      </c>
      <c r="F391" t="s">
        <v>25</v>
      </c>
      <c r="G391" t="s">
        <v>29</v>
      </c>
      <c r="H391" t="s">
        <v>34</v>
      </c>
      <c r="I391" t="s">
        <v>23</v>
      </c>
      <c r="J391">
        <v>15867</v>
      </c>
      <c r="K391">
        <v>12616</v>
      </c>
      <c r="L391">
        <v>2</v>
      </c>
    </row>
    <row r="392" spans="1:12" x14ac:dyDescent="0.3">
      <c r="A392">
        <v>1391</v>
      </c>
      <c r="B392" s="1">
        <v>45206</v>
      </c>
      <c r="C392">
        <v>2023</v>
      </c>
      <c r="D392" t="s">
        <v>12</v>
      </c>
      <c r="E392" t="s">
        <v>19</v>
      </c>
      <c r="F392" t="s">
        <v>40</v>
      </c>
      <c r="G392" t="s">
        <v>40</v>
      </c>
      <c r="H392" t="s">
        <v>34</v>
      </c>
      <c r="I392" t="s">
        <v>23</v>
      </c>
      <c r="J392">
        <v>23839</v>
      </c>
      <c r="K392">
        <v>17127</v>
      </c>
      <c r="L392">
        <v>5</v>
      </c>
    </row>
    <row r="393" spans="1:12" x14ac:dyDescent="0.3">
      <c r="A393">
        <v>1392</v>
      </c>
      <c r="B393" s="1">
        <v>45428</v>
      </c>
      <c r="C393">
        <v>2024</v>
      </c>
      <c r="D393" t="s">
        <v>18</v>
      </c>
      <c r="E393" t="s">
        <v>24</v>
      </c>
      <c r="F393" t="s">
        <v>25</v>
      </c>
      <c r="G393" t="s">
        <v>29</v>
      </c>
      <c r="H393" t="s">
        <v>22</v>
      </c>
      <c r="I393" t="s">
        <v>23</v>
      </c>
      <c r="J393">
        <v>6535</v>
      </c>
      <c r="K393">
        <v>4466</v>
      </c>
      <c r="L393">
        <v>2</v>
      </c>
    </row>
    <row r="394" spans="1:12" x14ac:dyDescent="0.3">
      <c r="A394">
        <v>1393</v>
      </c>
      <c r="B394" s="1">
        <v>45652</v>
      </c>
      <c r="C394">
        <v>2024</v>
      </c>
      <c r="D394" t="s">
        <v>47</v>
      </c>
      <c r="E394" t="s">
        <v>19</v>
      </c>
      <c r="F394" t="s">
        <v>20</v>
      </c>
      <c r="G394" t="s">
        <v>21</v>
      </c>
      <c r="H394" t="s">
        <v>27</v>
      </c>
      <c r="I394" t="s">
        <v>17</v>
      </c>
      <c r="J394">
        <v>21966</v>
      </c>
      <c r="K394">
        <v>16567</v>
      </c>
      <c r="L394">
        <v>4</v>
      </c>
    </row>
    <row r="395" spans="1:12" x14ac:dyDescent="0.3">
      <c r="A395">
        <v>1394</v>
      </c>
      <c r="B395" s="1">
        <v>45600</v>
      </c>
      <c r="C395">
        <v>2024</v>
      </c>
      <c r="D395" t="s">
        <v>39</v>
      </c>
      <c r="E395" t="s">
        <v>13</v>
      </c>
      <c r="F395" t="s">
        <v>43</v>
      </c>
      <c r="G395" t="s">
        <v>44</v>
      </c>
      <c r="H395" t="s">
        <v>30</v>
      </c>
      <c r="I395" t="s">
        <v>23</v>
      </c>
      <c r="J395">
        <v>8746</v>
      </c>
      <c r="K395">
        <v>5702</v>
      </c>
      <c r="L395">
        <v>3</v>
      </c>
    </row>
    <row r="396" spans="1:12" x14ac:dyDescent="0.3">
      <c r="A396">
        <v>1395</v>
      </c>
      <c r="B396" s="1">
        <v>45531</v>
      </c>
      <c r="C396">
        <v>2024</v>
      </c>
      <c r="D396" t="s">
        <v>48</v>
      </c>
      <c r="E396" t="s">
        <v>24</v>
      </c>
      <c r="F396" t="s">
        <v>25</v>
      </c>
      <c r="G396" t="s">
        <v>26</v>
      </c>
      <c r="H396" t="s">
        <v>30</v>
      </c>
      <c r="I396" t="s">
        <v>23</v>
      </c>
      <c r="J396">
        <v>8098</v>
      </c>
      <c r="K396">
        <v>6142</v>
      </c>
      <c r="L396">
        <v>4</v>
      </c>
    </row>
    <row r="397" spans="1:12" x14ac:dyDescent="0.3">
      <c r="A397">
        <v>1396</v>
      </c>
      <c r="B397" s="1">
        <v>45053</v>
      </c>
      <c r="C397">
        <v>2023</v>
      </c>
      <c r="D397" t="s">
        <v>18</v>
      </c>
      <c r="E397" t="s">
        <v>13</v>
      </c>
      <c r="F397" t="s">
        <v>14</v>
      </c>
      <c r="G397" t="s">
        <v>15</v>
      </c>
      <c r="H397" t="s">
        <v>16</v>
      </c>
      <c r="I397" t="s">
        <v>17</v>
      </c>
      <c r="J397">
        <v>50888</v>
      </c>
      <c r="K397">
        <v>35952</v>
      </c>
      <c r="L397">
        <v>4</v>
      </c>
    </row>
    <row r="398" spans="1:12" x14ac:dyDescent="0.3">
      <c r="A398">
        <v>1397</v>
      </c>
      <c r="B398" s="1">
        <v>45452</v>
      </c>
      <c r="C398">
        <v>2024</v>
      </c>
      <c r="D398" t="s">
        <v>31</v>
      </c>
      <c r="E398" t="s">
        <v>13</v>
      </c>
      <c r="F398" t="s">
        <v>14</v>
      </c>
      <c r="G398" t="s">
        <v>15</v>
      </c>
      <c r="H398" t="s">
        <v>30</v>
      </c>
      <c r="I398" t="s">
        <v>23</v>
      </c>
      <c r="J398">
        <v>13131</v>
      </c>
      <c r="K398">
        <v>8087</v>
      </c>
      <c r="L398">
        <v>5</v>
      </c>
    </row>
    <row r="399" spans="1:12" x14ac:dyDescent="0.3">
      <c r="A399">
        <v>1398</v>
      </c>
      <c r="B399" s="1">
        <v>45070</v>
      </c>
      <c r="C399">
        <v>2023</v>
      </c>
      <c r="D399" t="s">
        <v>18</v>
      </c>
      <c r="E399" t="s">
        <v>13</v>
      </c>
      <c r="F399" t="s">
        <v>43</v>
      </c>
      <c r="G399" t="s">
        <v>44</v>
      </c>
      <c r="H399" t="s">
        <v>27</v>
      </c>
      <c r="I399" t="s">
        <v>17</v>
      </c>
      <c r="J399">
        <v>18857</v>
      </c>
      <c r="K399">
        <v>11537</v>
      </c>
      <c r="L399">
        <v>2</v>
      </c>
    </row>
    <row r="400" spans="1:12" x14ac:dyDescent="0.3">
      <c r="A400">
        <v>1399</v>
      </c>
      <c r="B400" s="1">
        <v>45163</v>
      </c>
      <c r="C400">
        <v>2023</v>
      </c>
      <c r="D400" t="s">
        <v>48</v>
      </c>
      <c r="E400" t="s">
        <v>24</v>
      </c>
      <c r="F400" t="s">
        <v>32</v>
      </c>
      <c r="G400" t="s">
        <v>33</v>
      </c>
      <c r="H400" t="s">
        <v>46</v>
      </c>
      <c r="I400" t="s">
        <v>17</v>
      </c>
      <c r="J400">
        <v>22521</v>
      </c>
      <c r="K400">
        <v>15882</v>
      </c>
      <c r="L400">
        <v>4</v>
      </c>
    </row>
    <row r="401" spans="1:12" x14ac:dyDescent="0.3">
      <c r="A401">
        <v>1400</v>
      </c>
      <c r="B401" s="1">
        <v>45563</v>
      </c>
      <c r="C401">
        <v>2024</v>
      </c>
      <c r="D401" t="s">
        <v>42</v>
      </c>
      <c r="E401" t="s">
        <v>24</v>
      </c>
      <c r="F401" t="s">
        <v>25</v>
      </c>
      <c r="G401" t="s">
        <v>26</v>
      </c>
      <c r="H401" t="s">
        <v>27</v>
      </c>
      <c r="I401" t="s">
        <v>17</v>
      </c>
      <c r="J401">
        <v>22410</v>
      </c>
      <c r="K401">
        <v>15292</v>
      </c>
      <c r="L401">
        <v>3</v>
      </c>
    </row>
    <row r="402" spans="1:12" x14ac:dyDescent="0.3">
      <c r="A402">
        <v>1401</v>
      </c>
      <c r="B402" s="1">
        <v>45416</v>
      </c>
      <c r="C402">
        <v>2024</v>
      </c>
      <c r="D402" t="s">
        <v>18</v>
      </c>
      <c r="E402" t="s">
        <v>19</v>
      </c>
      <c r="F402" t="s">
        <v>20</v>
      </c>
      <c r="G402" t="s">
        <v>21</v>
      </c>
      <c r="H402" t="s">
        <v>16</v>
      </c>
      <c r="I402" t="s">
        <v>17</v>
      </c>
      <c r="J402">
        <v>56554</v>
      </c>
      <c r="K402">
        <v>43709</v>
      </c>
      <c r="L402">
        <v>5</v>
      </c>
    </row>
    <row r="403" spans="1:12" x14ac:dyDescent="0.3">
      <c r="A403">
        <v>1402</v>
      </c>
      <c r="B403" s="1">
        <v>45363</v>
      </c>
      <c r="C403">
        <v>2024</v>
      </c>
      <c r="D403" t="s">
        <v>49</v>
      </c>
      <c r="E403" t="s">
        <v>24</v>
      </c>
      <c r="F403" t="s">
        <v>25</v>
      </c>
      <c r="G403" t="s">
        <v>29</v>
      </c>
      <c r="H403" t="s">
        <v>27</v>
      </c>
      <c r="I403" t="s">
        <v>17</v>
      </c>
      <c r="J403">
        <v>16205</v>
      </c>
      <c r="K403">
        <v>11316</v>
      </c>
      <c r="L403">
        <v>4</v>
      </c>
    </row>
    <row r="404" spans="1:12" x14ac:dyDescent="0.3">
      <c r="A404">
        <v>1403</v>
      </c>
      <c r="B404" s="1">
        <v>45598</v>
      </c>
      <c r="C404">
        <v>2024</v>
      </c>
      <c r="D404" t="s">
        <v>39</v>
      </c>
      <c r="E404" t="s">
        <v>24</v>
      </c>
      <c r="F404" t="s">
        <v>25</v>
      </c>
      <c r="G404" t="s">
        <v>29</v>
      </c>
      <c r="H404" t="s">
        <v>41</v>
      </c>
      <c r="I404" t="s">
        <v>23</v>
      </c>
      <c r="J404">
        <v>9892</v>
      </c>
      <c r="K404">
        <v>7759</v>
      </c>
      <c r="L404">
        <v>4</v>
      </c>
    </row>
    <row r="405" spans="1:12" x14ac:dyDescent="0.3">
      <c r="A405">
        <v>1404</v>
      </c>
      <c r="B405" s="1">
        <v>45461</v>
      </c>
      <c r="C405">
        <v>2024</v>
      </c>
      <c r="D405" t="s">
        <v>31</v>
      </c>
      <c r="E405" t="s">
        <v>24</v>
      </c>
      <c r="F405" t="s">
        <v>32</v>
      </c>
      <c r="G405" t="s">
        <v>33</v>
      </c>
      <c r="H405" t="s">
        <v>16</v>
      </c>
      <c r="I405" t="s">
        <v>17</v>
      </c>
      <c r="J405">
        <v>58024</v>
      </c>
      <c r="K405">
        <v>45056</v>
      </c>
      <c r="L405">
        <v>5</v>
      </c>
    </row>
    <row r="406" spans="1:12" x14ac:dyDescent="0.3">
      <c r="A406">
        <v>1405</v>
      </c>
      <c r="B406" s="1">
        <v>45266</v>
      </c>
      <c r="C406">
        <v>2023</v>
      </c>
      <c r="D406" t="s">
        <v>47</v>
      </c>
      <c r="E406" t="s">
        <v>19</v>
      </c>
      <c r="F406" t="s">
        <v>20</v>
      </c>
      <c r="G406" t="s">
        <v>21</v>
      </c>
      <c r="H406" t="s">
        <v>27</v>
      </c>
      <c r="I406" t="s">
        <v>17</v>
      </c>
      <c r="J406">
        <v>21699</v>
      </c>
      <c r="K406">
        <v>17710</v>
      </c>
      <c r="L406">
        <v>2</v>
      </c>
    </row>
    <row r="407" spans="1:12" x14ac:dyDescent="0.3">
      <c r="A407">
        <v>1406</v>
      </c>
      <c r="B407" s="1">
        <v>45151</v>
      </c>
      <c r="C407">
        <v>2023</v>
      </c>
      <c r="D407" t="s">
        <v>48</v>
      </c>
      <c r="E407" t="s">
        <v>24</v>
      </c>
      <c r="F407" t="s">
        <v>25</v>
      </c>
      <c r="G407" t="s">
        <v>29</v>
      </c>
      <c r="H407" t="s">
        <v>22</v>
      </c>
      <c r="I407" t="s">
        <v>23</v>
      </c>
      <c r="J407">
        <v>8372</v>
      </c>
      <c r="K407">
        <v>6076</v>
      </c>
      <c r="L407">
        <v>1</v>
      </c>
    </row>
    <row r="408" spans="1:12" x14ac:dyDescent="0.3">
      <c r="A408">
        <v>1407</v>
      </c>
      <c r="B408" s="1">
        <v>45316</v>
      </c>
      <c r="C408">
        <v>2024</v>
      </c>
      <c r="D408" t="s">
        <v>35</v>
      </c>
      <c r="E408" t="s">
        <v>13</v>
      </c>
      <c r="F408" t="s">
        <v>43</v>
      </c>
      <c r="G408" t="s">
        <v>44</v>
      </c>
      <c r="H408" t="s">
        <v>46</v>
      </c>
      <c r="I408" t="s">
        <v>17</v>
      </c>
      <c r="J408">
        <v>26113</v>
      </c>
      <c r="K408">
        <v>15979</v>
      </c>
      <c r="L408">
        <v>2</v>
      </c>
    </row>
    <row r="409" spans="1:12" x14ac:dyDescent="0.3">
      <c r="A409">
        <v>1408</v>
      </c>
      <c r="B409" s="1">
        <v>45002</v>
      </c>
      <c r="C409">
        <v>2023</v>
      </c>
      <c r="D409" t="s">
        <v>49</v>
      </c>
      <c r="E409" t="s">
        <v>24</v>
      </c>
      <c r="F409" t="s">
        <v>25</v>
      </c>
      <c r="G409" t="s">
        <v>29</v>
      </c>
      <c r="H409" t="s">
        <v>16</v>
      </c>
      <c r="I409" t="s">
        <v>17</v>
      </c>
      <c r="J409">
        <v>48240</v>
      </c>
      <c r="K409">
        <v>30282</v>
      </c>
      <c r="L409">
        <v>1</v>
      </c>
    </row>
    <row r="410" spans="1:12" x14ac:dyDescent="0.3">
      <c r="A410">
        <v>1409</v>
      </c>
      <c r="B410" s="1">
        <v>45625</v>
      </c>
      <c r="C410">
        <v>2024</v>
      </c>
      <c r="D410" t="s">
        <v>39</v>
      </c>
      <c r="E410" t="s">
        <v>13</v>
      </c>
      <c r="F410" t="s">
        <v>14</v>
      </c>
      <c r="G410" t="s">
        <v>15</v>
      </c>
      <c r="H410" t="s">
        <v>22</v>
      </c>
      <c r="I410" t="s">
        <v>23</v>
      </c>
      <c r="J410">
        <v>7803</v>
      </c>
      <c r="K410">
        <v>5295</v>
      </c>
      <c r="L410">
        <v>3</v>
      </c>
    </row>
    <row r="411" spans="1:12" x14ac:dyDescent="0.3">
      <c r="A411">
        <v>1410</v>
      </c>
      <c r="B411" s="1">
        <v>45392</v>
      </c>
      <c r="C411">
        <v>2024</v>
      </c>
      <c r="D411" t="s">
        <v>38</v>
      </c>
      <c r="E411" t="s">
        <v>19</v>
      </c>
      <c r="F411" t="s">
        <v>40</v>
      </c>
      <c r="G411" t="s">
        <v>40</v>
      </c>
      <c r="H411" t="s">
        <v>27</v>
      </c>
      <c r="I411" t="s">
        <v>17</v>
      </c>
      <c r="J411">
        <v>32684</v>
      </c>
      <c r="K411">
        <v>24771</v>
      </c>
      <c r="L411">
        <v>3</v>
      </c>
    </row>
    <row r="412" spans="1:12" x14ac:dyDescent="0.3">
      <c r="A412">
        <v>1411</v>
      </c>
      <c r="B412" s="1">
        <v>45651</v>
      </c>
      <c r="C412">
        <v>2024</v>
      </c>
      <c r="D412" t="s">
        <v>47</v>
      </c>
      <c r="E412" t="s">
        <v>24</v>
      </c>
      <c r="F412" t="s">
        <v>32</v>
      </c>
      <c r="G412" t="s">
        <v>33</v>
      </c>
      <c r="H412" t="s">
        <v>16</v>
      </c>
      <c r="I412" t="s">
        <v>17</v>
      </c>
      <c r="J412">
        <v>43385</v>
      </c>
      <c r="K412">
        <v>30555</v>
      </c>
      <c r="L412">
        <v>4</v>
      </c>
    </row>
    <row r="413" spans="1:12" x14ac:dyDescent="0.3">
      <c r="A413">
        <v>1412</v>
      </c>
      <c r="B413" s="1">
        <v>44979</v>
      </c>
      <c r="C413">
        <v>2023</v>
      </c>
      <c r="D413" t="s">
        <v>45</v>
      </c>
      <c r="E413" t="s">
        <v>24</v>
      </c>
      <c r="F413" t="s">
        <v>25</v>
      </c>
      <c r="G413" t="s">
        <v>26</v>
      </c>
      <c r="H413" t="s">
        <v>27</v>
      </c>
      <c r="I413" t="s">
        <v>17</v>
      </c>
      <c r="J413">
        <v>24973</v>
      </c>
      <c r="K413">
        <v>16228</v>
      </c>
      <c r="L413">
        <v>1</v>
      </c>
    </row>
    <row r="414" spans="1:12" x14ac:dyDescent="0.3">
      <c r="A414">
        <v>1413</v>
      </c>
      <c r="B414" s="1">
        <v>44947</v>
      </c>
      <c r="C414">
        <v>2023</v>
      </c>
      <c r="D414" t="s">
        <v>35</v>
      </c>
      <c r="E414" t="s">
        <v>13</v>
      </c>
      <c r="F414" t="s">
        <v>36</v>
      </c>
      <c r="G414" t="s">
        <v>37</v>
      </c>
      <c r="H414" t="s">
        <v>46</v>
      </c>
      <c r="I414" t="s">
        <v>17</v>
      </c>
      <c r="J414">
        <v>24972</v>
      </c>
      <c r="K414">
        <v>16457</v>
      </c>
      <c r="L414">
        <v>2</v>
      </c>
    </row>
    <row r="415" spans="1:12" x14ac:dyDescent="0.3">
      <c r="A415">
        <v>1414</v>
      </c>
      <c r="B415" s="1">
        <v>45345</v>
      </c>
      <c r="C415">
        <v>2024</v>
      </c>
      <c r="D415" t="s">
        <v>45</v>
      </c>
      <c r="E415" t="s">
        <v>13</v>
      </c>
      <c r="F415" t="s">
        <v>36</v>
      </c>
      <c r="G415" t="s">
        <v>37</v>
      </c>
      <c r="H415" t="s">
        <v>34</v>
      </c>
      <c r="I415" t="s">
        <v>23</v>
      </c>
      <c r="J415">
        <v>34856</v>
      </c>
      <c r="K415">
        <v>24414</v>
      </c>
      <c r="L415">
        <v>3</v>
      </c>
    </row>
    <row r="416" spans="1:12" x14ac:dyDescent="0.3">
      <c r="A416">
        <v>1415</v>
      </c>
      <c r="B416" s="1">
        <v>45146</v>
      </c>
      <c r="C416">
        <v>2023</v>
      </c>
      <c r="D416" t="s">
        <v>48</v>
      </c>
      <c r="E416" t="s">
        <v>24</v>
      </c>
      <c r="F416" t="s">
        <v>25</v>
      </c>
      <c r="G416" t="s">
        <v>29</v>
      </c>
      <c r="H416" t="s">
        <v>41</v>
      </c>
      <c r="I416" t="s">
        <v>23</v>
      </c>
      <c r="J416">
        <v>10013</v>
      </c>
      <c r="K416">
        <v>7240</v>
      </c>
      <c r="L416">
        <v>1</v>
      </c>
    </row>
    <row r="417" spans="1:12" x14ac:dyDescent="0.3">
      <c r="A417">
        <v>1416</v>
      </c>
      <c r="B417" s="1">
        <v>45387</v>
      </c>
      <c r="C417">
        <v>2024</v>
      </c>
      <c r="D417" t="s">
        <v>38</v>
      </c>
      <c r="E417" t="s">
        <v>24</v>
      </c>
      <c r="F417" t="s">
        <v>32</v>
      </c>
      <c r="G417" t="s">
        <v>33</v>
      </c>
      <c r="H417" t="s">
        <v>27</v>
      </c>
      <c r="I417" t="s">
        <v>17</v>
      </c>
      <c r="J417">
        <v>20853</v>
      </c>
      <c r="K417">
        <v>16264</v>
      </c>
      <c r="L417">
        <v>3</v>
      </c>
    </row>
    <row r="418" spans="1:12" x14ac:dyDescent="0.3">
      <c r="A418">
        <v>1417</v>
      </c>
      <c r="B418" s="1">
        <v>45473</v>
      </c>
      <c r="C418">
        <v>2024</v>
      </c>
      <c r="D418" t="s">
        <v>31</v>
      </c>
      <c r="E418" t="s">
        <v>13</v>
      </c>
      <c r="F418" t="s">
        <v>43</v>
      </c>
      <c r="G418" t="s">
        <v>44</v>
      </c>
      <c r="H418" t="s">
        <v>34</v>
      </c>
      <c r="I418" t="s">
        <v>23</v>
      </c>
      <c r="J418">
        <v>30932</v>
      </c>
      <c r="K418">
        <v>24090</v>
      </c>
      <c r="L418">
        <v>4</v>
      </c>
    </row>
    <row r="419" spans="1:12" x14ac:dyDescent="0.3">
      <c r="A419">
        <v>1418</v>
      </c>
      <c r="B419" s="1">
        <v>45505</v>
      </c>
      <c r="C419">
        <v>2024</v>
      </c>
      <c r="D419" t="s">
        <v>48</v>
      </c>
      <c r="E419" t="s">
        <v>13</v>
      </c>
      <c r="F419" t="s">
        <v>36</v>
      </c>
      <c r="G419" t="s">
        <v>37</v>
      </c>
      <c r="H419" t="s">
        <v>27</v>
      </c>
      <c r="I419" t="s">
        <v>17</v>
      </c>
      <c r="J419">
        <v>26734</v>
      </c>
      <c r="K419">
        <v>19282</v>
      </c>
      <c r="L419">
        <v>1</v>
      </c>
    </row>
    <row r="420" spans="1:12" x14ac:dyDescent="0.3">
      <c r="A420">
        <v>1419</v>
      </c>
      <c r="B420" s="1">
        <v>45573</v>
      </c>
      <c r="C420">
        <v>2024</v>
      </c>
      <c r="D420" t="s">
        <v>12</v>
      </c>
      <c r="E420" t="s">
        <v>24</v>
      </c>
      <c r="F420" t="s">
        <v>32</v>
      </c>
      <c r="G420" t="s">
        <v>33</v>
      </c>
      <c r="H420" t="s">
        <v>30</v>
      </c>
      <c r="I420" t="s">
        <v>23</v>
      </c>
      <c r="J420">
        <v>9726</v>
      </c>
      <c r="K420">
        <v>7281</v>
      </c>
      <c r="L420">
        <v>4</v>
      </c>
    </row>
    <row r="421" spans="1:12" x14ac:dyDescent="0.3">
      <c r="A421">
        <v>1420</v>
      </c>
      <c r="B421" s="1">
        <v>45468</v>
      </c>
      <c r="C421">
        <v>2024</v>
      </c>
      <c r="D421" t="s">
        <v>31</v>
      </c>
      <c r="E421" t="s">
        <v>24</v>
      </c>
      <c r="F421" t="s">
        <v>25</v>
      </c>
      <c r="G421" t="s">
        <v>29</v>
      </c>
      <c r="H421" t="s">
        <v>34</v>
      </c>
      <c r="I421" t="s">
        <v>23</v>
      </c>
      <c r="J421">
        <v>28622</v>
      </c>
      <c r="K421">
        <v>19792</v>
      </c>
      <c r="L421">
        <v>5</v>
      </c>
    </row>
    <row r="422" spans="1:12" x14ac:dyDescent="0.3">
      <c r="A422">
        <v>1421</v>
      </c>
      <c r="B422" s="1">
        <v>45393</v>
      </c>
      <c r="C422">
        <v>2024</v>
      </c>
      <c r="D422" t="s">
        <v>38</v>
      </c>
      <c r="E422" t="s">
        <v>13</v>
      </c>
      <c r="F422" t="s">
        <v>43</v>
      </c>
      <c r="G422" t="s">
        <v>44</v>
      </c>
      <c r="H422" t="s">
        <v>30</v>
      </c>
      <c r="I422" t="s">
        <v>23</v>
      </c>
      <c r="J422">
        <v>10781</v>
      </c>
      <c r="K422">
        <v>6816</v>
      </c>
      <c r="L422">
        <v>1</v>
      </c>
    </row>
    <row r="423" spans="1:12" x14ac:dyDescent="0.3">
      <c r="A423">
        <v>1422</v>
      </c>
      <c r="B423" s="1">
        <v>45370</v>
      </c>
      <c r="C423">
        <v>2024</v>
      </c>
      <c r="D423" t="s">
        <v>49</v>
      </c>
      <c r="E423" t="s">
        <v>13</v>
      </c>
      <c r="F423" t="s">
        <v>14</v>
      </c>
      <c r="G423" t="s">
        <v>15</v>
      </c>
      <c r="H423" t="s">
        <v>22</v>
      </c>
      <c r="I423" t="s">
        <v>23</v>
      </c>
      <c r="J423">
        <v>4792</v>
      </c>
      <c r="K423">
        <v>3042</v>
      </c>
      <c r="L423">
        <v>1</v>
      </c>
    </row>
    <row r="424" spans="1:12" x14ac:dyDescent="0.3">
      <c r="A424">
        <v>1423</v>
      </c>
      <c r="B424" s="1">
        <v>44961</v>
      </c>
      <c r="C424">
        <v>2023</v>
      </c>
      <c r="D424" t="s">
        <v>45</v>
      </c>
      <c r="E424" t="s">
        <v>13</v>
      </c>
      <c r="F424" t="s">
        <v>36</v>
      </c>
      <c r="G424" t="s">
        <v>37</v>
      </c>
      <c r="H424" t="s">
        <v>16</v>
      </c>
      <c r="I424" t="s">
        <v>17</v>
      </c>
      <c r="J424">
        <v>53166</v>
      </c>
      <c r="K424">
        <v>34511</v>
      </c>
      <c r="L424">
        <v>3</v>
      </c>
    </row>
    <row r="425" spans="1:12" x14ac:dyDescent="0.3">
      <c r="A425">
        <v>1424</v>
      </c>
      <c r="B425" s="1">
        <v>45553</v>
      </c>
      <c r="C425">
        <v>2024</v>
      </c>
      <c r="D425" t="s">
        <v>42</v>
      </c>
      <c r="E425" t="s">
        <v>24</v>
      </c>
      <c r="F425" t="s">
        <v>25</v>
      </c>
      <c r="G425" t="s">
        <v>29</v>
      </c>
      <c r="H425" t="s">
        <v>27</v>
      </c>
      <c r="I425" t="s">
        <v>17</v>
      </c>
      <c r="J425">
        <v>23341</v>
      </c>
      <c r="K425">
        <v>15768</v>
      </c>
      <c r="L425">
        <v>1</v>
      </c>
    </row>
    <row r="426" spans="1:12" x14ac:dyDescent="0.3">
      <c r="A426">
        <v>1425</v>
      </c>
      <c r="B426" s="1">
        <v>45482</v>
      </c>
      <c r="C426">
        <v>2024</v>
      </c>
      <c r="D426" t="s">
        <v>28</v>
      </c>
      <c r="E426" t="s">
        <v>19</v>
      </c>
      <c r="F426" t="s">
        <v>40</v>
      </c>
      <c r="G426" t="s">
        <v>40</v>
      </c>
      <c r="H426" t="s">
        <v>27</v>
      </c>
      <c r="I426" t="s">
        <v>17</v>
      </c>
      <c r="J426">
        <v>25110</v>
      </c>
      <c r="K426">
        <v>16005</v>
      </c>
      <c r="L426">
        <v>4</v>
      </c>
    </row>
    <row r="427" spans="1:12" x14ac:dyDescent="0.3">
      <c r="A427">
        <v>1426</v>
      </c>
      <c r="B427" s="1">
        <v>45502</v>
      </c>
      <c r="C427">
        <v>2024</v>
      </c>
      <c r="D427" t="s">
        <v>28</v>
      </c>
      <c r="E427" t="s">
        <v>24</v>
      </c>
      <c r="F427" t="s">
        <v>32</v>
      </c>
      <c r="G427" t="s">
        <v>33</v>
      </c>
      <c r="H427" t="s">
        <v>22</v>
      </c>
      <c r="I427" t="s">
        <v>23</v>
      </c>
      <c r="J427">
        <v>7112</v>
      </c>
      <c r="K427">
        <v>6017</v>
      </c>
      <c r="L427">
        <v>1</v>
      </c>
    </row>
    <row r="428" spans="1:12" x14ac:dyDescent="0.3">
      <c r="A428">
        <v>1427</v>
      </c>
      <c r="B428" s="1">
        <v>45635</v>
      </c>
      <c r="C428">
        <v>2024</v>
      </c>
      <c r="D428" t="s">
        <v>47</v>
      </c>
      <c r="E428" t="s">
        <v>13</v>
      </c>
      <c r="F428" t="s">
        <v>14</v>
      </c>
      <c r="G428" t="s">
        <v>15</v>
      </c>
      <c r="H428" t="s">
        <v>30</v>
      </c>
      <c r="I428" t="s">
        <v>23</v>
      </c>
      <c r="J428">
        <v>7737</v>
      </c>
      <c r="K428">
        <v>5853</v>
      </c>
      <c r="L428">
        <v>1</v>
      </c>
    </row>
    <row r="429" spans="1:12" x14ac:dyDescent="0.3">
      <c r="A429">
        <v>1428</v>
      </c>
      <c r="B429" s="1">
        <v>45128</v>
      </c>
      <c r="C429">
        <v>2023</v>
      </c>
      <c r="D429" t="s">
        <v>28</v>
      </c>
      <c r="E429" t="s">
        <v>19</v>
      </c>
      <c r="F429" t="s">
        <v>40</v>
      </c>
      <c r="G429" t="s">
        <v>40</v>
      </c>
      <c r="H429" t="s">
        <v>27</v>
      </c>
      <c r="I429" t="s">
        <v>17</v>
      </c>
      <c r="J429">
        <v>32586</v>
      </c>
      <c r="K429">
        <v>24021</v>
      </c>
      <c r="L429">
        <v>3</v>
      </c>
    </row>
    <row r="430" spans="1:12" x14ac:dyDescent="0.3">
      <c r="A430">
        <v>1429</v>
      </c>
      <c r="B430" s="1">
        <v>45641</v>
      </c>
      <c r="C430">
        <v>2024</v>
      </c>
      <c r="D430" t="s">
        <v>47</v>
      </c>
      <c r="E430" t="s">
        <v>19</v>
      </c>
      <c r="F430" t="s">
        <v>20</v>
      </c>
      <c r="G430" t="s">
        <v>21</v>
      </c>
      <c r="H430" t="s">
        <v>30</v>
      </c>
      <c r="I430" t="s">
        <v>23</v>
      </c>
      <c r="J430">
        <v>12378</v>
      </c>
      <c r="K430">
        <v>9965</v>
      </c>
      <c r="L430">
        <v>5</v>
      </c>
    </row>
    <row r="431" spans="1:12" x14ac:dyDescent="0.3">
      <c r="A431">
        <v>1430</v>
      </c>
      <c r="B431" s="1">
        <v>45456</v>
      </c>
      <c r="C431">
        <v>2024</v>
      </c>
      <c r="D431" t="s">
        <v>31</v>
      </c>
      <c r="E431" t="s">
        <v>13</v>
      </c>
      <c r="F431" t="s">
        <v>14</v>
      </c>
      <c r="G431" t="s">
        <v>15</v>
      </c>
      <c r="H431" t="s">
        <v>46</v>
      </c>
      <c r="I431" t="s">
        <v>17</v>
      </c>
      <c r="J431">
        <v>18208</v>
      </c>
      <c r="K431">
        <v>11609</v>
      </c>
      <c r="L431">
        <v>4</v>
      </c>
    </row>
    <row r="432" spans="1:12" x14ac:dyDescent="0.3">
      <c r="A432">
        <v>1431</v>
      </c>
      <c r="B432" s="1">
        <v>45553</v>
      </c>
      <c r="C432">
        <v>2024</v>
      </c>
      <c r="D432" t="s">
        <v>42</v>
      </c>
      <c r="E432" t="s">
        <v>13</v>
      </c>
      <c r="F432" t="s">
        <v>14</v>
      </c>
      <c r="G432" t="s">
        <v>15</v>
      </c>
      <c r="H432" t="s">
        <v>34</v>
      </c>
      <c r="I432" t="s">
        <v>23</v>
      </c>
      <c r="J432">
        <v>23382</v>
      </c>
      <c r="K432">
        <v>19428</v>
      </c>
      <c r="L432">
        <v>4</v>
      </c>
    </row>
    <row r="433" spans="1:12" x14ac:dyDescent="0.3">
      <c r="A433">
        <v>1432</v>
      </c>
      <c r="B433" s="1">
        <v>45458</v>
      </c>
      <c r="C433">
        <v>2024</v>
      </c>
      <c r="D433" t="s">
        <v>31</v>
      </c>
      <c r="E433" t="s">
        <v>24</v>
      </c>
      <c r="F433" t="s">
        <v>25</v>
      </c>
      <c r="G433" t="s">
        <v>29</v>
      </c>
      <c r="H433" t="s">
        <v>46</v>
      </c>
      <c r="I433" t="s">
        <v>17</v>
      </c>
      <c r="J433">
        <v>24911</v>
      </c>
      <c r="K433">
        <v>20149</v>
      </c>
      <c r="L433">
        <v>1</v>
      </c>
    </row>
    <row r="434" spans="1:12" x14ac:dyDescent="0.3">
      <c r="A434">
        <v>1433</v>
      </c>
      <c r="B434" s="1">
        <v>45442</v>
      </c>
      <c r="C434">
        <v>2024</v>
      </c>
      <c r="D434" t="s">
        <v>18</v>
      </c>
      <c r="E434" t="s">
        <v>24</v>
      </c>
      <c r="F434" t="s">
        <v>32</v>
      </c>
      <c r="G434" t="s">
        <v>33</v>
      </c>
      <c r="H434" t="s">
        <v>16</v>
      </c>
      <c r="I434" t="s">
        <v>17</v>
      </c>
      <c r="J434">
        <v>45322</v>
      </c>
      <c r="K434">
        <v>29807</v>
      </c>
      <c r="L434">
        <v>3</v>
      </c>
    </row>
    <row r="435" spans="1:12" x14ac:dyDescent="0.3">
      <c r="A435">
        <v>1434</v>
      </c>
      <c r="B435" s="1">
        <v>45310</v>
      </c>
      <c r="C435">
        <v>2024</v>
      </c>
      <c r="D435" t="s">
        <v>35</v>
      </c>
      <c r="E435" t="s">
        <v>24</v>
      </c>
      <c r="F435" t="s">
        <v>32</v>
      </c>
      <c r="G435" t="s">
        <v>33</v>
      </c>
      <c r="H435" t="s">
        <v>22</v>
      </c>
      <c r="I435" t="s">
        <v>23</v>
      </c>
      <c r="J435">
        <v>8153</v>
      </c>
      <c r="K435">
        <v>5452</v>
      </c>
      <c r="L435">
        <v>5</v>
      </c>
    </row>
    <row r="436" spans="1:12" x14ac:dyDescent="0.3">
      <c r="A436">
        <v>1435</v>
      </c>
      <c r="B436" s="1">
        <v>45371</v>
      </c>
      <c r="C436">
        <v>2024</v>
      </c>
      <c r="D436" t="s">
        <v>49</v>
      </c>
      <c r="E436" t="s">
        <v>19</v>
      </c>
      <c r="F436" t="s">
        <v>20</v>
      </c>
      <c r="G436" t="s">
        <v>21</v>
      </c>
      <c r="H436" t="s">
        <v>30</v>
      </c>
      <c r="I436" t="s">
        <v>23</v>
      </c>
      <c r="J436">
        <v>9080</v>
      </c>
      <c r="K436">
        <v>6734</v>
      </c>
      <c r="L436">
        <v>4</v>
      </c>
    </row>
    <row r="437" spans="1:12" x14ac:dyDescent="0.3">
      <c r="A437">
        <v>1436</v>
      </c>
      <c r="B437" s="1">
        <v>45298</v>
      </c>
      <c r="C437">
        <v>2024</v>
      </c>
      <c r="D437" t="s">
        <v>35</v>
      </c>
      <c r="E437" t="s">
        <v>19</v>
      </c>
      <c r="F437" t="s">
        <v>40</v>
      </c>
      <c r="G437" t="s">
        <v>40</v>
      </c>
      <c r="H437" t="s">
        <v>22</v>
      </c>
      <c r="I437" t="s">
        <v>23</v>
      </c>
      <c r="J437">
        <v>5440</v>
      </c>
      <c r="K437">
        <v>3404</v>
      </c>
      <c r="L437">
        <v>3</v>
      </c>
    </row>
    <row r="438" spans="1:12" x14ac:dyDescent="0.3">
      <c r="A438">
        <v>1437</v>
      </c>
      <c r="B438" s="1">
        <v>45393</v>
      </c>
      <c r="C438">
        <v>2024</v>
      </c>
      <c r="D438" t="s">
        <v>38</v>
      </c>
      <c r="E438" t="s">
        <v>24</v>
      </c>
      <c r="F438" t="s">
        <v>25</v>
      </c>
      <c r="G438" t="s">
        <v>26</v>
      </c>
      <c r="H438" t="s">
        <v>46</v>
      </c>
      <c r="I438" t="s">
        <v>17</v>
      </c>
      <c r="J438">
        <v>20958</v>
      </c>
      <c r="K438">
        <v>14580</v>
      </c>
      <c r="L438">
        <v>3</v>
      </c>
    </row>
    <row r="439" spans="1:12" x14ac:dyDescent="0.3">
      <c r="A439">
        <v>1438</v>
      </c>
      <c r="B439" s="1">
        <v>45319</v>
      </c>
      <c r="C439">
        <v>2024</v>
      </c>
      <c r="D439" t="s">
        <v>35</v>
      </c>
      <c r="E439" t="s">
        <v>24</v>
      </c>
      <c r="F439" t="s">
        <v>32</v>
      </c>
      <c r="G439" t="s">
        <v>33</v>
      </c>
      <c r="H439" t="s">
        <v>27</v>
      </c>
      <c r="I439" t="s">
        <v>17</v>
      </c>
      <c r="J439">
        <v>23638</v>
      </c>
      <c r="K439">
        <v>18730</v>
      </c>
      <c r="L439">
        <v>4</v>
      </c>
    </row>
    <row r="440" spans="1:12" x14ac:dyDescent="0.3">
      <c r="A440">
        <v>1439</v>
      </c>
      <c r="B440" s="1">
        <v>45554</v>
      </c>
      <c r="C440">
        <v>2024</v>
      </c>
      <c r="D440" t="s">
        <v>42</v>
      </c>
      <c r="E440" t="s">
        <v>24</v>
      </c>
      <c r="F440" t="s">
        <v>25</v>
      </c>
      <c r="G440" t="s">
        <v>29</v>
      </c>
      <c r="H440" t="s">
        <v>22</v>
      </c>
      <c r="I440" t="s">
        <v>23</v>
      </c>
      <c r="J440">
        <v>6360</v>
      </c>
      <c r="K440">
        <v>4437</v>
      </c>
      <c r="L440">
        <v>1</v>
      </c>
    </row>
    <row r="441" spans="1:12" x14ac:dyDescent="0.3">
      <c r="A441">
        <v>1440</v>
      </c>
      <c r="B441" s="1">
        <v>44939</v>
      </c>
      <c r="C441">
        <v>2023</v>
      </c>
      <c r="D441" t="s">
        <v>35</v>
      </c>
      <c r="E441" t="s">
        <v>19</v>
      </c>
      <c r="F441" t="s">
        <v>20</v>
      </c>
      <c r="G441" t="s">
        <v>21</v>
      </c>
      <c r="H441" t="s">
        <v>41</v>
      </c>
      <c r="I441" t="s">
        <v>23</v>
      </c>
      <c r="J441">
        <v>13827</v>
      </c>
      <c r="K441">
        <v>10322</v>
      </c>
      <c r="L441">
        <v>1</v>
      </c>
    </row>
    <row r="442" spans="1:12" x14ac:dyDescent="0.3">
      <c r="A442">
        <v>1441</v>
      </c>
      <c r="B442" s="1">
        <v>45471</v>
      </c>
      <c r="C442">
        <v>2024</v>
      </c>
      <c r="D442" t="s">
        <v>31</v>
      </c>
      <c r="E442" t="s">
        <v>24</v>
      </c>
      <c r="F442" t="s">
        <v>25</v>
      </c>
      <c r="G442" t="s">
        <v>29</v>
      </c>
      <c r="H442" t="s">
        <v>30</v>
      </c>
      <c r="I442" t="s">
        <v>23</v>
      </c>
      <c r="J442">
        <v>6429</v>
      </c>
      <c r="K442">
        <v>4976</v>
      </c>
      <c r="L442">
        <v>3</v>
      </c>
    </row>
    <row r="443" spans="1:12" x14ac:dyDescent="0.3">
      <c r="A443">
        <v>1442</v>
      </c>
      <c r="B443" s="1">
        <v>45205</v>
      </c>
      <c r="C443">
        <v>2023</v>
      </c>
      <c r="D443" t="s">
        <v>12</v>
      </c>
      <c r="E443" t="s">
        <v>19</v>
      </c>
      <c r="F443" t="s">
        <v>20</v>
      </c>
      <c r="G443" t="s">
        <v>21</v>
      </c>
      <c r="H443" t="s">
        <v>46</v>
      </c>
      <c r="I443" t="s">
        <v>17</v>
      </c>
      <c r="J443">
        <v>12140</v>
      </c>
      <c r="K443">
        <v>10142</v>
      </c>
      <c r="L443">
        <v>5</v>
      </c>
    </row>
    <row r="444" spans="1:12" x14ac:dyDescent="0.3">
      <c r="A444">
        <v>1443</v>
      </c>
      <c r="B444" s="1">
        <v>45022</v>
      </c>
      <c r="C444">
        <v>2023</v>
      </c>
      <c r="D444" t="s">
        <v>38</v>
      </c>
      <c r="E444" t="s">
        <v>19</v>
      </c>
      <c r="F444" t="s">
        <v>20</v>
      </c>
      <c r="G444" t="s">
        <v>21</v>
      </c>
      <c r="H444" t="s">
        <v>16</v>
      </c>
      <c r="I444" t="s">
        <v>17</v>
      </c>
      <c r="J444">
        <v>40911</v>
      </c>
      <c r="K444">
        <v>31655</v>
      </c>
      <c r="L444">
        <v>4</v>
      </c>
    </row>
    <row r="445" spans="1:12" x14ac:dyDescent="0.3">
      <c r="A445">
        <v>1444</v>
      </c>
      <c r="B445" s="1">
        <v>45323</v>
      </c>
      <c r="C445">
        <v>2024</v>
      </c>
      <c r="D445" t="s">
        <v>45</v>
      </c>
      <c r="E445" t="s">
        <v>24</v>
      </c>
      <c r="F445" t="s">
        <v>25</v>
      </c>
      <c r="G445" t="s">
        <v>26</v>
      </c>
      <c r="H445" t="s">
        <v>34</v>
      </c>
      <c r="I445" t="s">
        <v>23</v>
      </c>
      <c r="J445">
        <v>16482</v>
      </c>
      <c r="K445">
        <v>13554</v>
      </c>
      <c r="L445">
        <v>4</v>
      </c>
    </row>
    <row r="446" spans="1:12" x14ac:dyDescent="0.3">
      <c r="A446">
        <v>1445</v>
      </c>
      <c r="B446" s="1">
        <v>45063</v>
      </c>
      <c r="C446">
        <v>2023</v>
      </c>
      <c r="D446" t="s">
        <v>18</v>
      </c>
      <c r="E446" t="s">
        <v>19</v>
      </c>
      <c r="F446" t="s">
        <v>20</v>
      </c>
      <c r="G446" t="s">
        <v>21</v>
      </c>
      <c r="H446" t="s">
        <v>30</v>
      </c>
      <c r="I446" t="s">
        <v>23</v>
      </c>
      <c r="J446">
        <v>9492</v>
      </c>
      <c r="K446">
        <v>6922</v>
      </c>
      <c r="L446">
        <v>4</v>
      </c>
    </row>
    <row r="447" spans="1:12" x14ac:dyDescent="0.3">
      <c r="A447">
        <v>1446</v>
      </c>
      <c r="B447" s="1">
        <v>44976</v>
      </c>
      <c r="C447">
        <v>2023</v>
      </c>
      <c r="D447" t="s">
        <v>45</v>
      </c>
      <c r="E447" t="s">
        <v>19</v>
      </c>
      <c r="F447" t="s">
        <v>40</v>
      </c>
      <c r="G447" t="s">
        <v>40</v>
      </c>
      <c r="H447" t="s">
        <v>41</v>
      </c>
      <c r="I447" t="s">
        <v>23</v>
      </c>
      <c r="J447">
        <v>13025</v>
      </c>
      <c r="K447">
        <v>8014</v>
      </c>
      <c r="L447">
        <v>1</v>
      </c>
    </row>
    <row r="448" spans="1:12" x14ac:dyDescent="0.3">
      <c r="A448">
        <v>1447</v>
      </c>
      <c r="B448" s="1">
        <v>45006</v>
      </c>
      <c r="C448">
        <v>2023</v>
      </c>
      <c r="D448" t="s">
        <v>49</v>
      </c>
      <c r="E448" t="s">
        <v>24</v>
      </c>
      <c r="F448" t="s">
        <v>25</v>
      </c>
      <c r="G448" t="s">
        <v>29</v>
      </c>
      <c r="H448" t="s">
        <v>30</v>
      </c>
      <c r="I448" t="s">
        <v>23</v>
      </c>
      <c r="J448">
        <v>12042</v>
      </c>
      <c r="K448">
        <v>9653</v>
      </c>
      <c r="L448">
        <v>3</v>
      </c>
    </row>
    <row r="449" spans="1:12" x14ac:dyDescent="0.3">
      <c r="A449">
        <v>1448</v>
      </c>
      <c r="B449" s="1">
        <v>45445</v>
      </c>
      <c r="C449">
        <v>2024</v>
      </c>
      <c r="D449" t="s">
        <v>31</v>
      </c>
      <c r="E449" t="s">
        <v>19</v>
      </c>
      <c r="F449" t="s">
        <v>20</v>
      </c>
      <c r="G449" t="s">
        <v>21</v>
      </c>
      <c r="H449" t="s">
        <v>27</v>
      </c>
      <c r="I449" t="s">
        <v>17</v>
      </c>
      <c r="J449">
        <v>31675</v>
      </c>
      <c r="K449">
        <v>19672</v>
      </c>
      <c r="L449">
        <v>5</v>
      </c>
    </row>
    <row r="450" spans="1:12" x14ac:dyDescent="0.3">
      <c r="A450">
        <v>1449</v>
      </c>
      <c r="B450" s="1">
        <v>45489</v>
      </c>
      <c r="C450">
        <v>2024</v>
      </c>
      <c r="D450" t="s">
        <v>28</v>
      </c>
      <c r="E450" t="s">
        <v>19</v>
      </c>
      <c r="F450" t="s">
        <v>40</v>
      </c>
      <c r="G450" t="s">
        <v>40</v>
      </c>
      <c r="H450" t="s">
        <v>16</v>
      </c>
      <c r="I450" t="s">
        <v>17</v>
      </c>
      <c r="J450">
        <v>52314</v>
      </c>
      <c r="K450">
        <v>42122</v>
      </c>
      <c r="L450">
        <v>3</v>
      </c>
    </row>
    <row r="451" spans="1:12" x14ac:dyDescent="0.3">
      <c r="A451">
        <v>1450</v>
      </c>
      <c r="B451" s="1">
        <v>45599</v>
      </c>
      <c r="C451">
        <v>2024</v>
      </c>
      <c r="D451" t="s">
        <v>39</v>
      </c>
      <c r="E451" t="s">
        <v>13</v>
      </c>
      <c r="F451" t="s">
        <v>43</v>
      </c>
      <c r="G451" t="s">
        <v>44</v>
      </c>
      <c r="H451" t="s">
        <v>27</v>
      </c>
      <c r="I451" t="s">
        <v>17</v>
      </c>
      <c r="J451">
        <v>21910</v>
      </c>
      <c r="K451">
        <v>15843</v>
      </c>
      <c r="L451">
        <v>1</v>
      </c>
    </row>
    <row r="452" spans="1:12" x14ac:dyDescent="0.3">
      <c r="A452">
        <v>1451</v>
      </c>
      <c r="B452" s="1">
        <v>45370</v>
      </c>
      <c r="C452">
        <v>2024</v>
      </c>
      <c r="D452" t="s">
        <v>49</v>
      </c>
      <c r="E452" t="s">
        <v>19</v>
      </c>
      <c r="F452" t="s">
        <v>20</v>
      </c>
      <c r="G452" t="s">
        <v>21</v>
      </c>
      <c r="H452" t="s">
        <v>30</v>
      </c>
      <c r="I452" t="s">
        <v>23</v>
      </c>
      <c r="J452">
        <v>11423</v>
      </c>
      <c r="K452">
        <v>8088</v>
      </c>
      <c r="L452">
        <v>4</v>
      </c>
    </row>
    <row r="453" spans="1:12" x14ac:dyDescent="0.3">
      <c r="A453">
        <v>1452</v>
      </c>
      <c r="B453" s="1">
        <v>45200</v>
      </c>
      <c r="C453">
        <v>2023</v>
      </c>
      <c r="D453" t="s">
        <v>12</v>
      </c>
      <c r="E453" t="s">
        <v>24</v>
      </c>
      <c r="F453" t="s">
        <v>32</v>
      </c>
      <c r="G453" t="s">
        <v>33</v>
      </c>
      <c r="H453" t="s">
        <v>27</v>
      </c>
      <c r="I453" t="s">
        <v>17</v>
      </c>
      <c r="J453">
        <v>16273</v>
      </c>
      <c r="K453">
        <v>11661</v>
      </c>
      <c r="L453">
        <v>3</v>
      </c>
    </row>
    <row r="454" spans="1:12" x14ac:dyDescent="0.3">
      <c r="A454">
        <v>1453</v>
      </c>
      <c r="B454" s="1">
        <v>45634</v>
      </c>
      <c r="C454">
        <v>2024</v>
      </c>
      <c r="D454" t="s">
        <v>47</v>
      </c>
      <c r="E454" t="s">
        <v>13</v>
      </c>
      <c r="F454" t="s">
        <v>36</v>
      </c>
      <c r="G454" t="s">
        <v>37</v>
      </c>
      <c r="H454" t="s">
        <v>16</v>
      </c>
      <c r="I454" t="s">
        <v>17</v>
      </c>
      <c r="J454">
        <v>56308</v>
      </c>
      <c r="K454">
        <v>41549</v>
      </c>
      <c r="L454">
        <v>2</v>
      </c>
    </row>
    <row r="455" spans="1:12" x14ac:dyDescent="0.3">
      <c r="A455">
        <v>1454</v>
      </c>
      <c r="B455" s="1">
        <v>45446</v>
      </c>
      <c r="C455">
        <v>2024</v>
      </c>
      <c r="D455" t="s">
        <v>31</v>
      </c>
      <c r="E455" t="s">
        <v>19</v>
      </c>
      <c r="F455" t="s">
        <v>40</v>
      </c>
      <c r="G455" t="s">
        <v>40</v>
      </c>
      <c r="H455" t="s">
        <v>46</v>
      </c>
      <c r="I455" t="s">
        <v>17</v>
      </c>
      <c r="J455">
        <v>18072</v>
      </c>
      <c r="K455">
        <v>14484</v>
      </c>
      <c r="L455">
        <v>1</v>
      </c>
    </row>
    <row r="456" spans="1:12" x14ac:dyDescent="0.3">
      <c r="A456">
        <v>1455</v>
      </c>
      <c r="B456" s="1">
        <v>45080</v>
      </c>
      <c r="C456">
        <v>2023</v>
      </c>
      <c r="D456" t="s">
        <v>31</v>
      </c>
      <c r="E456" t="s">
        <v>19</v>
      </c>
      <c r="F456" t="s">
        <v>40</v>
      </c>
      <c r="G456" t="s">
        <v>40</v>
      </c>
      <c r="H456" t="s">
        <v>46</v>
      </c>
      <c r="I456" t="s">
        <v>17</v>
      </c>
      <c r="J456">
        <v>22080</v>
      </c>
      <c r="K456">
        <v>18167</v>
      </c>
      <c r="L456">
        <v>2</v>
      </c>
    </row>
    <row r="457" spans="1:12" x14ac:dyDescent="0.3">
      <c r="A457">
        <v>1456</v>
      </c>
      <c r="B457" s="1">
        <v>44956</v>
      </c>
      <c r="C457">
        <v>2023</v>
      </c>
      <c r="D457" t="s">
        <v>35</v>
      </c>
      <c r="E457" t="s">
        <v>13</v>
      </c>
      <c r="F457" t="s">
        <v>14</v>
      </c>
      <c r="G457" t="s">
        <v>15</v>
      </c>
      <c r="H457" t="s">
        <v>16</v>
      </c>
      <c r="I457" t="s">
        <v>17</v>
      </c>
      <c r="J457">
        <v>42177</v>
      </c>
      <c r="K457">
        <v>34355</v>
      </c>
      <c r="L457">
        <v>5</v>
      </c>
    </row>
    <row r="458" spans="1:12" x14ac:dyDescent="0.3">
      <c r="A458">
        <v>1457</v>
      </c>
      <c r="B458" s="1">
        <v>45080</v>
      </c>
      <c r="C458">
        <v>2023</v>
      </c>
      <c r="D458" t="s">
        <v>31</v>
      </c>
      <c r="E458" t="s">
        <v>19</v>
      </c>
      <c r="F458" t="s">
        <v>40</v>
      </c>
      <c r="G458" t="s">
        <v>40</v>
      </c>
      <c r="H458" t="s">
        <v>34</v>
      </c>
      <c r="I458" t="s">
        <v>23</v>
      </c>
      <c r="J458">
        <v>21172</v>
      </c>
      <c r="K458">
        <v>14947</v>
      </c>
      <c r="L458">
        <v>5</v>
      </c>
    </row>
    <row r="459" spans="1:12" x14ac:dyDescent="0.3">
      <c r="A459">
        <v>1458</v>
      </c>
      <c r="B459" s="1">
        <v>45606</v>
      </c>
      <c r="C459">
        <v>2024</v>
      </c>
      <c r="D459" t="s">
        <v>39</v>
      </c>
      <c r="E459" t="s">
        <v>24</v>
      </c>
      <c r="F459" t="s">
        <v>25</v>
      </c>
      <c r="G459" t="s">
        <v>26</v>
      </c>
      <c r="H459" t="s">
        <v>46</v>
      </c>
      <c r="I459" t="s">
        <v>17</v>
      </c>
      <c r="J459">
        <v>19305</v>
      </c>
      <c r="K459">
        <v>12970</v>
      </c>
      <c r="L459">
        <v>3</v>
      </c>
    </row>
    <row r="460" spans="1:12" x14ac:dyDescent="0.3">
      <c r="A460">
        <v>1459</v>
      </c>
      <c r="B460" s="1">
        <v>45366</v>
      </c>
      <c r="C460">
        <v>2024</v>
      </c>
      <c r="D460" t="s">
        <v>49</v>
      </c>
      <c r="E460" t="s">
        <v>19</v>
      </c>
      <c r="F460" t="s">
        <v>40</v>
      </c>
      <c r="G460" t="s">
        <v>40</v>
      </c>
      <c r="H460" t="s">
        <v>41</v>
      </c>
      <c r="I460" t="s">
        <v>23</v>
      </c>
      <c r="J460">
        <v>15756</v>
      </c>
      <c r="K460">
        <v>13140</v>
      </c>
      <c r="L460">
        <v>4</v>
      </c>
    </row>
    <row r="461" spans="1:12" x14ac:dyDescent="0.3">
      <c r="A461">
        <v>1460</v>
      </c>
      <c r="B461" s="1">
        <v>45142</v>
      </c>
      <c r="C461">
        <v>2023</v>
      </c>
      <c r="D461" t="s">
        <v>48</v>
      </c>
      <c r="E461" t="s">
        <v>24</v>
      </c>
      <c r="F461" t="s">
        <v>25</v>
      </c>
      <c r="G461" t="s">
        <v>29</v>
      </c>
      <c r="H461" t="s">
        <v>16</v>
      </c>
      <c r="I461" t="s">
        <v>17</v>
      </c>
      <c r="J461">
        <v>58658</v>
      </c>
      <c r="K461">
        <v>42300</v>
      </c>
      <c r="L461">
        <v>2</v>
      </c>
    </row>
    <row r="462" spans="1:12" x14ac:dyDescent="0.3">
      <c r="A462">
        <v>1461</v>
      </c>
      <c r="B462" s="1">
        <v>45247</v>
      </c>
      <c r="C462">
        <v>2023</v>
      </c>
      <c r="D462" t="s">
        <v>39</v>
      </c>
      <c r="E462" t="s">
        <v>13</v>
      </c>
      <c r="F462" t="s">
        <v>36</v>
      </c>
      <c r="G462" t="s">
        <v>37</v>
      </c>
      <c r="H462" t="s">
        <v>30</v>
      </c>
      <c r="I462" t="s">
        <v>23</v>
      </c>
      <c r="J462">
        <v>11918</v>
      </c>
      <c r="K462">
        <v>7466</v>
      </c>
      <c r="L462">
        <v>4</v>
      </c>
    </row>
    <row r="463" spans="1:12" x14ac:dyDescent="0.3">
      <c r="A463">
        <v>1462</v>
      </c>
      <c r="B463" s="1">
        <v>45616</v>
      </c>
      <c r="C463">
        <v>2024</v>
      </c>
      <c r="D463" t="s">
        <v>39</v>
      </c>
      <c r="E463" t="s">
        <v>24</v>
      </c>
      <c r="F463" t="s">
        <v>25</v>
      </c>
      <c r="G463" t="s">
        <v>26</v>
      </c>
      <c r="H463" t="s">
        <v>22</v>
      </c>
      <c r="I463" t="s">
        <v>23</v>
      </c>
      <c r="J463">
        <v>6229</v>
      </c>
      <c r="K463">
        <v>4467</v>
      </c>
      <c r="L463">
        <v>2</v>
      </c>
    </row>
    <row r="464" spans="1:12" x14ac:dyDescent="0.3">
      <c r="A464">
        <v>1463</v>
      </c>
      <c r="B464" s="1">
        <v>45568</v>
      </c>
      <c r="C464">
        <v>2024</v>
      </c>
      <c r="D464" t="s">
        <v>12</v>
      </c>
      <c r="E464" t="s">
        <v>19</v>
      </c>
      <c r="F464" t="s">
        <v>20</v>
      </c>
      <c r="G464" t="s">
        <v>21</v>
      </c>
      <c r="H464" t="s">
        <v>34</v>
      </c>
      <c r="I464" t="s">
        <v>23</v>
      </c>
      <c r="J464">
        <v>34210</v>
      </c>
      <c r="K464">
        <v>23496</v>
      </c>
      <c r="L464">
        <v>4</v>
      </c>
    </row>
    <row r="465" spans="1:12" x14ac:dyDescent="0.3">
      <c r="A465">
        <v>1464</v>
      </c>
      <c r="B465" s="1">
        <v>45031</v>
      </c>
      <c r="C465">
        <v>2023</v>
      </c>
      <c r="D465" t="s">
        <v>38</v>
      </c>
      <c r="E465" t="s">
        <v>19</v>
      </c>
      <c r="F465" t="s">
        <v>20</v>
      </c>
      <c r="G465" t="s">
        <v>21</v>
      </c>
      <c r="H465" t="s">
        <v>27</v>
      </c>
      <c r="I465" t="s">
        <v>17</v>
      </c>
      <c r="J465">
        <v>15554</v>
      </c>
      <c r="K465">
        <v>12843</v>
      </c>
      <c r="L465">
        <v>4</v>
      </c>
    </row>
    <row r="466" spans="1:12" x14ac:dyDescent="0.3">
      <c r="A466">
        <v>1465</v>
      </c>
      <c r="B466" s="1">
        <v>45599</v>
      </c>
      <c r="C466">
        <v>2024</v>
      </c>
      <c r="D466" t="s">
        <v>39</v>
      </c>
      <c r="E466" t="s">
        <v>24</v>
      </c>
      <c r="F466" t="s">
        <v>32</v>
      </c>
      <c r="G466" t="s">
        <v>33</v>
      </c>
      <c r="H466" t="s">
        <v>27</v>
      </c>
      <c r="I466" t="s">
        <v>17</v>
      </c>
      <c r="J466">
        <v>27050</v>
      </c>
      <c r="K466">
        <v>19450</v>
      </c>
      <c r="L466">
        <v>3</v>
      </c>
    </row>
    <row r="467" spans="1:12" x14ac:dyDescent="0.3">
      <c r="A467">
        <v>1466</v>
      </c>
      <c r="B467" s="1">
        <v>45172</v>
      </c>
      <c r="C467">
        <v>2023</v>
      </c>
      <c r="D467" t="s">
        <v>42</v>
      </c>
      <c r="E467" t="s">
        <v>19</v>
      </c>
      <c r="F467" t="s">
        <v>20</v>
      </c>
      <c r="G467" t="s">
        <v>21</v>
      </c>
      <c r="H467" t="s">
        <v>27</v>
      </c>
      <c r="I467" t="s">
        <v>17</v>
      </c>
      <c r="J467">
        <v>22241</v>
      </c>
      <c r="K467">
        <v>18007</v>
      </c>
      <c r="L467">
        <v>2</v>
      </c>
    </row>
    <row r="468" spans="1:12" x14ac:dyDescent="0.3">
      <c r="A468">
        <v>1467</v>
      </c>
      <c r="B468" s="1">
        <v>45171</v>
      </c>
      <c r="C468">
        <v>2023</v>
      </c>
      <c r="D468" t="s">
        <v>42</v>
      </c>
      <c r="E468" t="s">
        <v>19</v>
      </c>
      <c r="F468" t="s">
        <v>40</v>
      </c>
      <c r="G468" t="s">
        <v>40</v>
      </c>
      <c r="H468" t="s">
        <v>34</v>
      </c>
      <c r="I468" t="s">
        <v>23</v>
      </c>
      <c r="J468">
        <v>36098</v>
      </c>
      <c r="K468">
        <v>27635</v>
      </c>
      <c r="L468">
        <v>4</v>
      </c>
    </row>
    <row r="469" spans="1:12" x14ac:dyDescent="0.3">
      <c r="A469">
        <v>1468</v>
      </c>
      <c r="B469" s="1">
        <v>44955</v>
      </c>
      <c r="C469">
        <v>2023</v>
      </c>
      <c r="D469" t="s">
        <v>35</v>
      </c>
      <c r="E469" t="s">
        <v>13</v>
      </c>
      <c r="F469" t="s">
        <v>36</v>
      </c>
      <c r="G469" t="s">
        <v>37</v>
      </c>
      <c r="H469" t="s">
        <v>22</v>
      </c>
      <c r="I469" t="s">
        <v>23</v>
      </c>
      <c r="J469">
        <v>5936</v>
      </c>
      <c r="K469">
        <v>3680</v>
      </c>
      <c r="L469">
        <v>1</v>
      </c>
    </row>
    <row r="470" spans="1:12" x14ac:dyDescent="0.3">
      <c r="A470">
        <v>1469</v>
      </c>
      <c r="B470" s="1">
        <v>45023</v>
      </c>
      <c r="C470">
        <v>2023</v>
      </c>
      <c r="D470" t="s">
        <v>38</v>
      </c>
      <c r="E470" t="s">
        <v>24</v>
      </c>
      <c r="F470" t="s">
        <v>25</v>
      </c>
      <c r="G470" t="s">
        <v>29</v>
      </c>
      <c r="H470" t="s">
        <v>41</v>
      </c>
      <c r="I470" t="s">
        <v>23</v>
      </c>
      <c r="J470">
        <v>7101</v>
      </c>
      <c r="K470">
        <v>5705</v>
      </c>
      <c r="L470">
        <v>1</v>
      </c>
    </row>
    <row r="471" spans="1:12" x14ac:dyDescent="0.3">
      <c r="A471">
        <v>1470</v>
      </c>
      <c r="B471" s="1">
        <v>45264</v>
      </c>
      <c r="C471">
        <v>2023</v>
      </c>
      <c r="D471" t="s">
        <v>47</v>
      </c>
      <c r="E471" t="s">
        <v>13</v>
      </c>
      <c r="F471" t="s">
        <v>43</v>
      </c>
      <c r="G471" t="s">
        <v>44</v>
      </c>
      <c r="H471" t="s">
        <v>30</v>
      </c>
      <c r="I471" t="s">
        <v>23</v>
      </c>
      <c r="J471">
        <v>10393</v>
      </c>
      <c r="K471">
        <v>7974</v>
      </c>
      <c r="L471">
        <v>5</v>
      </c>
    </row>
    <row r="472" spans="1:12" x14ac:dyDescent="0.3">
      <c r="A472">
        <v>1471</v>
      </c>
      <c r="B472" s="1">
        <v>45147</v>
      </c>
      <c r="C472">
        <v>2023</v>
      </c>
      <c r="D472" t="s">
        <v>48</v>
      </c>
      <c r="E472" t="s">
        <v>24</v>
      </c>
      <c r="F472" t="s">
        <v>25</v>
      </c>
      <c r="G472" t="s">
        <v>29</v>
      </c>
      <c r="H472" t="s">
        <v>34</v>
      </c>
      <c r="I472" t="s">
        <v>23</v>
      </c>
      <c r="J472">
        <v>32821</v>
      </c>
      <c r="K472">
        <v>27434</v>
      </c>
      <c r="L472">
        <v>4</v>
      </c>
    </row>
    <row r="473" spans="1:12" x14ac:dyDescent="0.3">
      <c r="A473">
        <v>1472</v>
      </c>
      <c r="B473" s="1">
        <v>44968</v>
      </c>
      <c r="C473">
        <v>2023</v>
      </c>
      <c r="D473" t="s">
        <v>45</v>
      </c>
      <c r="E473" t="s">
        <v>19</v>
      </c>
      <c r="F473" t="s">
        <v>20</v>
      </c>
      <c r="G473" t="s">
        <v>21</v>
      </c>
      <c r="H473" t="s">
        <v>22</v>
      </c>
      <c r="I473" t="s">
        <v>23</v>
      </c>
      <c r="J473">
        <v>3351</v>
      </c>
      <c r="K473">
        <v>2835</v>
      </c>
      <c r="L473">
        <v>3</v>
      </c>
    </row>
    <row r="474" spans="1:12" x14ac:dyDescent="0.3">
      <c r="A474">
        <v>1473</v>
      </c>
      <c r="B474" s="1">
        <v>45085</v>
      </c>
      <c r="C474">
        <v>2023</v>
      </c>
      <c r="D474" t="s">
        <v>31</v>
      </c>
      <c r="E474" t="s">
        <v>24</v>
      </c>
      <c r="F474" t="s">
        <v>25</v>
      </c>
      <c r="G474" t="s">
        <v>26</v>
      </c>
      <c r="H474" t="s">
        <v>30</v>
      </c>
      <c r="I474" t="s">
        <v>23</v>
      </c>
      <c r="J474">
        <v>10011</v>
      </c>
      <c r="K474">
        <v>8171</v>
      </c>
      <c r="L474">
        <v>5</v>
      </c>
    </row>
    <row r="475" spans="1:12" x14ac:dyDescent="0.3">
      <c r="A475">
        <v>1474</v>
      </c>
      <c r="B475" s="1">
        <v>45033</v>
      </c>
      <c r="C475">
        <v>2023</v>
      </c>
      <c r="D475" t="s">
        <v>38</v>
      </c>
      <c r="E475" t="s">
        <v>13</v>
      </c>
      <c r="F475" t="s">
        <v>36</v>
      </c>
      <c r="G475" t="s">
        <v>37</v>
      </c>
      <c r="H475" t="s">
        <v>30</v>
      </c>
      <c r="I475" t="s">
        <v>23</v>
      </c>
      <c r="J475">
        <v>5688</v>
      </c>
      <c r="K475">
        <v>4004</v>
      </c>
      <c r="L475">
        <v>4</v>
      </c>
    </row>
    <row r="476" spans="1:12" x14ac:dyDescent="0.3">
      <c r="A476">
        <v>1475</v>
      </c>
      <c r="B476" s="1">
        <v>45279</v>
      </c>
      <c r="C476">
        <v>2023</v>
      </c>
      <c r="D476" t="s">
        <v>47</v>
      </c>
      <c r="E476" t="s">
        <v>13</v>
      </c>
      <c r="F476" t="s">
        <v>43</v>
      </c>
      <c r="G476" t="s">
        <v>44</v>
      </c>
      <c r="H476" t="s">
        <v>22</v>
      </c>
      <c r="I476" t="s">
        <v>23</v>
      </c>
      <c r="J476">
        <v>5578</v>
      </c>
      <c r="K476">
        <v>3854</v>
      </c>
      <c r="L476">
        <v>4</v>
      </c>
    </row>
    <row r="477" spans="1:12" x14ac:dyDescent="0.3">
      <c r="A477">
        <v>1476</v>
      </c>
      <c r="B477" s="1">
        <v>45238</v>
      </c>
      <c r="C477">
        <v>2023</v>
      </c>
      <c r="D477" t="s">
        <v>39</v>
      </c>
      <c r="E477" t="s">
        <v>24</v>
      </c>
      <c r="F477" t="s">
        <v>25</v>
      </c>
      <c r="G477" t="s">
        <v>29</v>
      </c>
      <c r="H477" t="s">
        <v>41</v>
      </c>
      <c r="I477" t="s">
        <v>23</v>
      </c>
      <c r="J477">
        <v>14139</v>
      </c>
      <c r="K477">
        <v>9528</v>
      </c>
      <c r="L477">
        <v>1</v>
      </c>
    </row>
    <row r="478" spans="1:12" x14ac:dyDescent="0.3">
      <c r="A478">
        <v>1477</v>
      </c>
      <c r="B478" s="1">
        <v>45288</v>
      </c>
      <c r="C478">
        <v>2023</v>
      </c>
      <c r="D478" t="s">
        <v>47</v>
      </c>
      <c r="E478" t="s">
        <v>19</v>
      </c>
      <c r="F478" t="s">
        <v>20</v>
      </c>
      <c r="G478" t="s">
        <v>21</v>
      </c>
      <c r="H478" t="s">
        <v>22</v>
      </c>
      <c r="I478" t="s">
        <v>23</v>
      </c>
      <c r="J478">
        <v>6199</v>
      </c>
      <c r="K478">
        <v>4931</v>
      </c>
      <c r="L478">
        <v>3</v>
      </c>
    </row>
    <row r="479" spans="1:12" x14ac:dyDescent="0.3">
      <c r="A479">
        <v>1478</v>
      </c>
      <c r="B479" s="1">
        <v>45017</v>
      </c>
      <c r="C479">
        <v>2023</v>
      </c>
      <c r="D479" t="s">
        <v>38</v>
      </c>
      <c r="E479" t="s">
        <v>24</v>
      </c>
      <c r="F479" t="s">
        <v>32</v>
      </c>
      <c r="G479" t="s">
        <v>33</v>
      </c>
      <c r="H479" t="s">
        <v>16</v>
      </c>
      <c r="I479" t="s">
        <v>17</v>
      </c>
      <c r="J479">
        <v>61650</v>
      </c>
      <c r="K479">
        <v>51516</v>
      </c>
      <c r="L479">
        <v>2</v>
      </c>
    </row>
    <row r="480" spans="1:12" x14ac:dyDescent="0.3">
      <c r="A480">
        <v>1479</v>
      </c>
      <c r="B480" s="1">
        <v>45615</v>
      </c>
      <c r="C480">
        <v>2024</v>
      </c>
      <c r="D480" t="s">
        <v>39</v>
      </c>
      <c r="E480" t="s">
        <v>19</v>
      </c>
      <c r="F480" t="s">
        <v>20</v>
      </c>
      <c r="G480" t="s">
        <v>21</v>
      </c>
      <c r="H480" t="s">
        <v>46</v>
      </c>
      <c r="I480" t="s">
        <v>17</v>
      </c>
      <c r="J480">
        <v>20692</v>
      </c>
      <c r="K480">
        <v>14025</v>
      </c>
      <c r="L480">
        <v>5</v>
      </c>
    </row>
    <row r="481" spans="1:12" x14ac:dyDescent="0.3">
      <c r="A481">
        <v>1480</v>
      </c>
      <c r="B481" s="1">
        <v>45022</v>
      </c>
      <c r="C481">
        <v>2023</v>
      </c>
      <c r="D481" t="s">
        <v>38</v>
      </c>
      <c r="E481" t="s">
        <v>24</v>
      </c>
      <c r="F481" t="s">
        <v>25</v>
      </c>
      <c r="G481" t="s">
        <v>29</v>
      </c>
      <c r="H481" t="s">
        <v>41</v>
      </c>
      <c r="I481" t="s">
        <v>23</v>
      </c>
      <c r="J481">
        <v>14589</v>
      </c>
      <c r="K481">
        <v>11057</v>
      </c>
      <c r="L481">
        <v>2</v>
      </c>
    </row>
    <row r="482" spans="1:12" x14ac:dyDescent="0.3">
      <c r="A482">
        <v>1481</v>
      </c>
      <c r="B482" s="1">
        <v>45090</v>
      </c>
      <c r="C482">
        <v>2023</v>
      </c>
      <c r="D482" t="s">
        <v>31</v>
      </c>
      <c r="E482" t="s">
        <v>19</v>
      </c>
      <c r="F482" t="s">
        <v>40</v>
      </c>
      <c r="G482" t="s">
        <v>40</v>
      </c>
      <c r="H482" t="s">
        <v>41</v>
      </c>
      <c r="I482" t="s">
        <v>23</v>
      </c>
      <c r="J482">
        <v>12559</v>
      </c>
      <c r="K482">
        <v>8175</v>
      </c>
      <c r="L482">
        <v>4</v>
      </c>
    </row>
    <row r="483" spans="1:12" x14ac:dyDescent="0.3">
      <c r="A483">
        <v>1482</v>
      </c>
      <c r="B483" s="1">
        <v>45214</v>
      </c>
      <c r="C483">
        <v>2023</v>
      </c>
      <c r="D483" t="s">
        <v>12</v>
      </c>
      <c r="E483" t="s">
        <v>13</v>
      </c>
      <c r="F483" t="s">
        <v>43</v>
      </c>
      <c r="G483" t="s">
        <v>44</v>
      </c>
      <c r="H483" t="s">
        <v>41</v>
      </c>
      <c r="I483" t="s">
        <v>23</v>
      </c>
      <c r="J483">
        <v>14852</v>
      </c>
      <c r="K483">
        <v>11917</v>
      </c>
      <c r="L483">
        <v>3</v>
      </c>
    </row>
    <row r="484" spans="1:12" x14ac:dyDescent="0.3">
      <c r="A484">
        <v>1483</v>
      </c>
      <c r="B484" s="1">
        <v>45474</v>
      </c>
      <c r="C484">
        <v>2024</v>
      </c>
      <c r="D484" t="s">
        <v>28</v>
      </c>
      <c r="E484" t="s">
        <v>24</v>
      </c>
      <c r="F484" t="s">
        <v>25</v>
      </c>
      <c r="G484" t="s">
        <v>29</v>
      </c>
      <c r="H484" t="s">
        <v>16</v>
      </c>
      <c r="I484" t="s">
        <v>17</v>
      </c>
      <c r="J484">
        <v>57623</v>
      </c>
      <c r="K484">
        <v>44677</v>
      </c>
      <c r="L484">
        <v>2</v>
      </c>
    </row>
    <row r="485" spans="1:12" x14ac:dyDescent="0.3">
      <c r="A485">
        <v>1484</v>
      </c>
      <c r="B485" s="1">
        <v>45309</v>
      </c>
      <c r="C485">
        <v>2024</v>
      </c>
      <c r="D485" t="s">
        <v>35</v>
      </c>
      <c r="E485" t="s">
        <v>13</v>
      </c>
      <c r="F485" t="s">
        <v>36</v>
      </c>
      <c r="G485" t="s">
        <v>37</v>
      </c>
      <c r="H485" t="s">
        <v>22</v>
      </c>
      <c r="I485" t="s">
        <v>23</v>
      </c>
      <c r="J485">
        <v>3697</v>
      </c>
      <c r="K485">
        <v>2555</v>
      </c>
      <c r="L485">
        <v>2</v>
      </c>
    </row>
    <row r="486" spans="1:12" x14ac:dyDescent="0.3">
      <c r="A486">
        <v>1485</v>
      </c>
      <c r="B486" s="1">
        <v>45058</v>
      </c>
      <c r="C486">
        <v>2023</v>
      </c>
      <c r="D486" t="s">
        <v>18</v>
      </c>
      <c r="E486" t="s">
        <v>24</v>
      </c>
      <c r="F486" t="s">
        <v>25</v>
      </c>
      <c r="G486" t="s">
        <v>29</v>
      </c>
      <c r="H486" t="s">
        <v>41</v>
      </c>
      <c r="I486" t="s">
        <v>23</v>
      </c>
      <c r="J486">
        <v>15991</v>
      </c>
      <c r="K486">
        <v>13144</v>
      </c>
      <c r="L486">
        <v>3</v>
      </c>
    </row>
    <row r="487" spans="1:12" x14ac:dyDescent="0.3">
      <c r="A487">
        <v>1486</v>
      </c>
      <c r="B487" s="1">
        <v>45395</v>
      </c>
      <c r="C487">
        <v>2024</v>
      </c>
      <c r="D487" t="s">
        <v>38</v>
      </c>
      <c r="E487" t="s">
        <v>19</v>
      </c>
      <c r="F487" t="s">
        <v>20</v>
      </c>
      <c r="G487" t="s">
        <v>21</v>
      </c>
      <c r="H487" t="s">
        <v>41</v>
      </c>
      <c r="I487" t="s">
        <v>23</v>
      </c>
      <c r="J487">
        <v>16996</v>
      </c>
      <c r="K487">
        <v>12494</v>
      </c>
      <c r="L487">
        <v>2</v>
      </c>
    </row>
    <row r="488" spans="1:12" x14ac:dyDescent="0.3">
      <c r="A488">
        <v>1487</v>
      </c>
      <c r="B488" s="1">
        <v>45090</v>
      </c>
      <c r="C488">
        <v>2023</v>
      </c>
      <c r="D488" t="s">
        <v>31</v>
      </c>
      <c r="E488" t="s">
        <v>13</v>
      </c>
      <c r="F488" t="s">
        <v>43</v>
      </c>
      <c r="G488" t="s">
        <v>44</v>
      </c>
      <c r="H488" t="s">
        <v>27</v>
      </c>
      <c r="I488" t="s">
        <v>17</v>
      </c>
      <c r="J488">
        <v>33205</v>
      </c>
      <c r="K488">
        <v>21023</v>
      </c>
      <c r="L488">
        <v>4</v>
      </c>
    </row>
    <row r="489" spans="1:12" x14ac:dyDescent="0.3">
      <c r="A489">
        <v>1488</v>
      </c>
      <c r="B489" s="1">
        <v>45340</v>
      </c>
      <c r="C489">
        <v>2024</v>
      </c>
      <c r="D489" t="s">
        <v>45</v>
      </c>
      <c r="E489" t="s">
        <v>13</v>
      </c>
      <c r="F489" t="s">
        <v>36</v>
      </c>
      <c r="G489" t="s">
        <v>37</v>
      </c>
      <c r="H489" t="s">
        <v>16</v>
      </c>
      <c r="I489" t="s">
        <v>17</v>
      </c>
      <c r="J489">
        <v>48516</v>
      </c>
      <c r="K489">
        <v>38827</v>
      </c>
      <c r="L489">
        <v>5</v>
      </c>
    </row>
    <row r="490" spans="1:12" x14ac:dyDescent="0.3">
      <c r="A490">
        <v>1489</v>
      </c>
      <c r="B490" s="1">
        <v>45296</v>
      </c>
      <c r="C490">
        <v>2024</v>
      </c>
      <c r="D490" t="s">
        <v>35</v>
      </c>
      <c r="E490" t="s">
        <v>19</v>
      </c>
      <c r="F490" t="s">
        <v>40</v>
      </c>
      <c r="G490" t="s">
        <v>40</v>
      </c>
      <c r="H490" t="s">
        <v>41</v>
      </c>
      <c r="I490" t="s">
        <v>23</v>
      </c>
      <c r="J490">
        <v>13190</v>
      </c>
      <c r="K490">
        <v>9335</v>
      </c>
      <c r="L490">
        <v>4</v>
      </c>
    </row>
    <row r="491" spans="1:12" x14ac:dyDescent="0.3">
      <c r="A491">
        <v>1490</v>
      </c>
      <c r="B491" s="1">
        <v>45520</v>
      </c>
      <c r="C491">
        <v>2024</v>
      </c>
      <c r="D491" t="s">
        <v>48</v>
      </c>
      <c r="E491" t="s">
        <v>19</v>
      </c>
      <c r="F491" t="s">
        <v>40</v>
      </c>
      <c r="G491" t="s">
        <v>40</v>
      </c>
      <c r="H491" t="s">
        <v>22</v>
      </c>
      <c r="I491" t="s">
        <v>23</v>
      </c>
      <c r="J491">
        <v>6128</v>
      </c>
      <c r="K491">
        <v>4589</v>
      </c>
      <c r="L491">
        <v>1</v>
      </c>
    </row>
    <row r="492" spans="1:12" x14ac:dyDescent="0.3">
      <c r="A492">
        <v>1491</v>
      </c>
      <c r="B492" s="1">
        <v>45121</v>
      </c>
      <c r="C492">
        <v>2023</v>
      </c>
      <c r="D492" t="s">
        <v>28</v>
      </c>
      <c r="E492" t="s">
        <v>19</v>
      </c>
      <c r="F492" t="s">
        <v>40</v>
      </c>
      <c r="G492" t="s">
        <v>40</v>
      </c>
      <c r="H492" t="s">
        <v>27</v>
      </c>
      <c r="I492" t="s">
        <v>17</v>
      </c>
      <c r="J492">
        <v>22310</v>
      </c>
      <c r="K492">
        <v>18849</v>
      </c>
      <c r="L492">
        <v>3</v>
      </c>
    </row>
    <row r="493" spans="1:12" x14ac:dyDescent="0.3">
      <c r="A493">
        <v>1492</v>
      </c>
      <c r="B493" s="1">
        <v>45420</v>
      </c>
      <c r="C493">
        <v>2024</v>
      </c>
      <c r="D493" t="s">
        <v>18</v>
      </c>
      <c r="E493" t="s">
        <v>24</v>
      </c>
      <c r="F493" t="s">
        <v>32</v>
      </c>
      <c r="G493" t="s">
        <v>33</v>
      </c>
      <c r="H493" t="s">
        <v>46</v>
      </c>
      <c r="I493" t="s">
        <v>17</v>
      </c>
      <c r="J493">
        <v>15591</v>
      </c>
      <c r="K493">
        <v>12609</v>
      </c>
      <c r="L493">
        <v>3</v>
      </c>
    </row>
    <row r="494" spans="1:12" x14ac:dyDescent="0.3">
      <c r="A494">
        <v>1493</v>
      </c>
      <c r="B494" s="1">
        <v>45639</v>
      </c>
      <c r="C494">
        <v>2024</v>
      </c>
      <c r="D494" t="s">
        <v>47</v>
      </c>
      <c r="E494" t="s">
        <v>24</v>
      </c>
      <c r="F494" t="s">
        <v>25</v>
      </c>
      <c r="G494" t="s">
        <v>29</v>
      </c>
      <c r="H494" t="s">
        <v>16</v>
      </c>
      <c r="I494" t="s">
        <v>17</v>
      </c>
      <c r="J494">
        <v>50691</v>
      </c>
      <c r="K494">
        <v>40739</v>
      </c>
      <c r="L494">
        <v>3</v>
      </c>
    </row>
    <row r="495" spans="1:12" x14ac:dyDescent="0.3">
      <c r="A495">
        <v>1494</v>
      </c>
      <c r="B495" s="1">
        <v>45358</v>
      </c>
      <c r="C495">
        <v>2024</v>
      </c>
      <c r="D495" t="s">
        <v>49</v>
      </c>
      <c r="E495" t="s">
        <v>24</v>
      </c>
      <c r="F495" t="s">
        <v>25</v>
      </c>
      <c r="G495" t="s">
        <v>26</v>
      </c>
      <c r="H495" t="s">
        <v>16</v>
      </c>
      <c r="I495" t="s">
        <v>17</v>
      </c>
      <c r="J495">
        <v>48137</v>
      </c>
      <c r="K495">
        <v>31898</v>
      </c>
      <c r="L495">
        <v>3</v>
      </c>
    </row>
    <row r="496" spans="1:12" x14ac:dyDescent="0.3">
      <c r="A496">
        <v>1495</v>
      </c>
      <c r="B496" s="1">
        <v>45238</v>
      </c>
      <c r="C496">
        <v>2023</v>
      </c>
      <c r="D496" t="s">
        <v>39</v>
      </c>
      <c r="E496" t="s">
        <v>24</v>
      </c>
      <c r="F496" t="s">
        <v>25</v>
      </c>
      <c r="G496" t="s">
        <v>29</v>
      </c>
      <c r="H496" t="s">
        <v>46</v>
      </c>
      <c r="I496" t="s">
        <v>17</v>
      </c>
      <c r="J496">
        <v>24909</v>
      </c>
      <c r="K496">
        <v>19766</v>
      </c>
      <c r="L496">
        <v>4</v>
      </c>
    </row>
    <row r="497" spans="1:12" x14ac:dyDescent="0.3">
      <c r="A497">
        <v>1496</v>
      </c>
      <c r="B497" s="1">
        <v>45587</v>
      </c>
      <c r="C497">
        <v>2024</v>
      </c>
      <c r="D497" t="s">
        <v>12</v>
      </c>
      <c r="E497" t="s">
        <v>24</v>
      </c>
      <c r="F497" t="s">
        <v>25</v>
      </c>
      <c r="G497" t="s">
        <v>29</v>
      </c>
      <c r="H497" t="s">
        <v>34</v>
      </c>
      <c r="I497" t="s">
        <v>23</v>
      </c>
      <c r="J497">
        <v>38095</v>
      </c>
      <c r="K497">
        <v>26477</v>
      </c>
      <c r="L497">
        <v>4</v>
      </c>
    </row>
    <row r="498" spans="1:12" x14ac:dyDescent="0.3">
      <c r="A498">
        <v>1497</v>
      </c>
      <c r="B498" s="1">
        <v>45374</v>
      </c>
      <c r="C498">
        <v>2024</v>
      </c>
      <c r="D498" t="s">
        <v>49</v>
      </c>
      <c r="E498" t="s">
        <v>19</v>
      </c>
      <c r="F498" t="s">
        <v>40</v>
      </c>
      <c r="G498" t="s">
        <v>40</v>
      </c>
      <c r="H498" t="s">
        <v>22</v>
      </c>
      <c r="I498" t="s">
        <v>23</v>
      </c>
      <c r="J498">
        <v>9617</v>
      </c>
      <c r="K498">
        <v>6823</v>
      </c>
      <c r="L498">
        <v>5</v>
      </c>
    </row>
    <row r="499" spans="1:12" x14ac:dyDescent="0.3">
      <c r="A499">
        <v>1498</v>
      </c>
      <c r="B499" s="1">
        <v>45374</v>
      </c>
      <c r="C499">
        <v>2024</v>
      </c>
      <c r="D499" t="s">
        <v>49</v>
      </c>
      <c r="E499" t="s">
        <v>13</v>
      </c>
      <c r="F499" t="s">
        <v>43</v>
      </c>
      <c r="G499" t="s">
        <v>44</v>
      </c>
      <c r="H499" t="s">
        <v>34</v>
      </c>
      <c r="I499" t="s">
        <v>23</v>
      </c>
      <c r="J499">
        <v>15491</v>
      </c>
      <c r="K499">
        <v>11600</v>
      </c>
      <c r="L499">
        <v>3</v>
      </c>
    </row>
    <row r="500" spans="1:12" x14ac:dyDescent="0.3">
      <c r="A500">
        <v>1499</v>
      </c>
      <c r="B500" s="1">
        <v>45449</v>
      </c>
      <c r="C500">
        <v>2024</v>
      </c>
      <c r="D500" t="s">
        <v>31</v>
      </c>
      <c r="E500" t="s">
        <v>24</v>
      </c>
      <c r="F500" t="s">
        <v>25</v>
      </c>
      <c r="G500" t="s">
        <v>29</v>
      </c>
      <c r="H500" t="s">
        <v>16</v>
      </c>
      <c r="I500" t="s">
        <v>17</v>
      </c>
      <c r="J500">
        <v>42393</v>
      </c>
      <c r="K500">
        <v>27083</v>
      </c>
      <c r="L500">
        <v>5</v>
      </c>
    </row>
    <row r="501" spans="1:12" x14ac:dyDescent="0.3">
      <c r="A501">
        <v>1500</v>
      </c>
      <c r="B501" s="1">
        <v>45029</v>
      </c>
      <c r="C501">
        <v>2023</v>
      </c>
      <c r="D501" t="s">
        <v>38</v>
      </c>
      <c r="E501" t="s">
        <v>13</v>
      </c>
      <c r="F501" t="s">
        <v>14</v>
      </c>
      <c r="G501" t="s">
        <v>15</v>
      </c>
      <c r="H501" t="s">
        <v>34</v>
      </c>
      <c r="I501" t="s">
        <v>23</v>
      </c>
      <c r="J501">
        <v>39239</v>
      </c>
      <c r="K501">
        <v>23808</v>
      </c>
      <c r="L501">
        <v>2</v>
      </c>
    </row>
    <row r="502" spans="1:12" x14ac:dyDescent="0.3">
      <c r="A502">
        <v>1501</v>
      </c>
      <c r="B502" s="1">
        <v>45036</v>
      </c>
      <c r="C502">
        <v>2023</v>
      </c>
      <c r="D502" t="s">
        <v>38</v>
      </c>
      <c r="E502" t="s">
        <v>24</v>
      </c>
      <c r="F502" t="s">
        <v>32</v>
      </c>
      <c r="G502" t="s">
        <v>33</v>
      </c>
      <c r="H502" t="s">
        <v>30</v>
      </c>
      <c r="I502" t="s">
        <v>23</v>
      </c>
      <c r="J502">
        <v>12387</v>
      </c>
      <c r="K502">
        <v>8388</v>
      </c>
      <c r="L502">
        <v>5</v>
      </c>
    </row>
    <row r="503" spans="1:12" x14ac:dyDescent="0.3">
      <c r="A503">
        <v>1502</v>
      </c>
      <c r="B503" s="1">
        <v>45346</v>
      </c>
      <c r="C503">
        <v>2024</v>
      </c>
      <c r="D503" t="s">
        <v>45</v>
      </c>
      <c r="E503" t="s">
        <v>19</v>
      </c>
      <c r="F503" t="s">
        <v>40</v>
      </c>
      <c r="G503" t="s">
        <v>40</v>
      </c>
      <c r="H503" t="s">
        <v>46</v>
      </c>
      <c r="I503" t="s">
        <v>17</v>
      </c>
      <c r="J503">
        <v>29174</v>
      </c>
      <c r="K503">
        <v>18365</v>
      </c>
      <c r="L503">
        <v>4</v>
      </c>
    </row>
    <row r="504" spans="1:12" x14ac:dyDescent="0.3">
      <c r="A504">
        <v>1503</v>
      </c>
      <c r="B504" s="1">
        <v>45230</v>
      </c>
      <c r="C504">
        <v>2023</v>
      </c>
      <c r="D504" t="s">
        <v>12</v>
      </c>
      <c r="E504" t="s">
        <v>19</v>
      </c>
      <c r="F504" t="s">
        <v>20</v>
      </c>
      <c r="G504" t="s">
        <v>21</v>
      </c>
      <c r="H504" t="s">
        <v>41</v>
      </c>
      <c r="I504" t="s">
        <v>23</v>
      </c>
      <c r="J504">
        <v>18896</v>
      </c>
      <c r="K504">
        <v>15395</v>
      </c>
      <c r="L504">
        <v>5</v>
      </c>
    </row>
    <row r="505" spans="1:12" x14ac:dyDescent="0.3">
      <c r="A505">
        <v>1504</v>
      </c>
      <c r="B505" s="1">
        <v>45369</v>
      </c>
      <c r="C505">
        <v>2024</v>
      </c>
      <c r="D505" t="s">
        <v>49</v>
      </c>
      <c r="E505" t="s">
        <v>24</v>
      </c>
      <c r="F505" t="s">
        <v>25</v>
      </c>
      <c r="G505" t="s">
        <v>29</v>
      </c>
      <c r="H505" t="s">
        <v>41</v>
      </c>
      <c r="I505" t="s">
        <v>23</v>
      </c>
      <c r="J505">
        <v>15673</v>
      </c>
      <c r="K505">
        <v>13312</v>
      </c>
      <c r="L505">
        <v>1</v>
      </c>
    </row>
    <row r="506" spans="1:12" x14ac:dyDescent="0.3">
      <c r="A506">
        <v>1505</v>
      </c>
      <c r="B506" s="1">
        <v>45405</v>
      </c>
      <c r="C506">
        <v>2024</v>
      </c>
      <c r="D506" t="s">
        <v>38</v>
      </c>
      <c r="E506" t="s">
        <v>13</v>
      </c>
      <c r="F506" t="s">
        <v>43</v>
      </c>
      <c r="G506" t="s">
        <v>44</v>
      </c>
      <c r="H506" t="s">
        <v>16</v>
      </c>
      <c r="I506" t="s">
        <v>17</v>
      </c>
      <c r="J506">
        <v>67821</v>
      </c>
      <c r="K506">
        <v>47868</v>
      </c>
      <c r="L506">
        <v>4</v>
      </c>
    </row>
    <row r="507" spans="1:12" x14ac:dyDescent="0.3">
      <c r="A507">
        <v>1506</v>
      </c>
      <c r="B507" s="1">
        <v>45386</v>
      </c>
      <c r="C507">
        <v>2024</v>
      </c>
      <c r="D507" t="s">
        <v>38</v>
      </c>
      <c r="E507" t="s">
        <v>24</v>
      </c>
      <c r="F507" t="s">
        <v>32</v>
      </c>
      <c r="G507" t="s">
        <v>33</v>
      </c>
      <c r="H507" t="s">
        <v>16</v>
      </c>
      <c r="I507" t="s">
        <v>17</v>
      </c>
      <c r="J507">
        <v>64901</v>
      </c>
      <c r="K507">
        <v>39452</v>
      </c>
      <c r="L507">
        <v>1</v>
      </c>
    </row>
    <row r="508" spans="1:12" x14ac:dyDescent="0.3">
      <c r="A508">
        <v>1507</v>
      </c>
      <c r="B508" s="1">
        <v>44951</v>
      </c>
      <c r="C508">
        <v>2023</v>
      </c>
      <c r="D508" t="s">
        <v>35</v>
      </c>
      <c r="E508" t="s">
        <v>24</v>
      </c>
      <c r="F508" t="s">
        <v>32</v>
      </c>
      <c r="G508" t="s">
        <v>33</v>
      </c>
      <c r="H508" t="s">
        <v>34</v>
      </c>
      <c r="I508" t="s">
        <v>23</v>
      </c>
      <c r="J508">
        <v>29687</v>
      </c>
      <c r="K508">
        <v>20546</v>
      </c>
      <c r="L508">
        <v>3</v>
      </c>
    </row>
    <row r="509" spans="1:12" x14ac:dyDescent="0.3">
      <c r="A509">
        <v>1508</v>
      </c>
      <c r="B509" s="1">
        <v>45234</v>
      </c>
      <c r="C509">
        <v>2023</v>
      </c>
      <c r="D509" t="s">
        <v>39</v>
      </c>
      <c r="E509" t="s">
        <v>13</v>
      </c>
      <c r="F509" t="s">
        <v>14</v>
      </c>
      <c r="G509" t="s">
        <v>15</v>
      </c>
      <c r="H509" t="s">
        <v>34</v>
      </c>
      <c r="I509" t="s">
        <v>23</v>
      </c>
      <c r="J509">
        <v>22001</v>
      </c>
      <c r="K509">
        <v>16141</v>
      </c>
      <c r="L509">
        <v>3</v>
      </c>
    </row>
    <row r="510" spans="1:12" x14ac:dyDescent="0.3">
      <c r="A510">
        <v>1509</v>
      </c>
      <c r="B510" s="1">
        <v>45610</v>
      </c>
      <c r="C510">
        <v>2024</v>
      </c>
      <c r="D510" t="s">
        <v>39</v>
      </c>
      <c r="E510" t="s">
        <v>24</v>
      </c>
      <c r="F510" t="s">
        <v>32</v>
      </c>
      <c r="G510" t="s">
        <v>33</v>
      </c>
      <c r="H510" t="s">
        <v>16</v>
      </c>
      <c r="I510" t="s">
        <v>17</v>
      </c>
      <c r="J510">
        <v>68877</v>
      </c>
      <c r="K510">
        <v>50550</v>
      </c>
      <c r="L510">
        <v>2</v>
      </c>
    </row>
    <row r="511" spans="1:12" x14ac:dyDescent="0.3">
      <c r="A511">
        <v>1510</v>
      </c>
      <c r="B511" s="1">
        <v>45457</v>
      </c>
      <c r="C511">
        <v>2024</v>
      </c>
      <c r="D511" t="s">
        <v>31</v>
      </c>
      <c r="E511" t="s">
        <v>24</v>
      </c>
      <c r="F511" t="s">
        <v>25</v>
      </c>
      <c r="G511" t="s">
        <v>29</v>
      </c>
      <c r="H511" t="s">
        <v>27</v>
      </c>
      <c r="I511" t="s">
        <v>17</v>
      </c>
      <c r="J511">
        <v>23241</v>
      </c>
      <c r="K511">
        <v>16557</v>
      </c>
      <c r="L511">
        <v>1</v>
      </c>
    </row>
    <row r="512" spans="1:12" x14ac:dyDescent="0.3">
      <c r="A512">
        <v>1511</v>
      </c>
      <c r="B512" s="1">
        <v>45408</v>
      </c>
      <c r="C512">
        <v>2024</v>
      </c>
      <c r="D512" t="s">
        <v>38</v>
      </c>
      <c r="E512" t="s">
        <v>24</v>
      </c>
      <c r="F512" t="s">
        <v>25</v>
      </c>
      <c r="G512" t="s">
        <v>29</v>
      </c>
      <c r="H512" t="s">
        <v>27</v>
      </c>
      <c r="I512" t="s">
        <v>17</v>
      </c>
      <c r="J512">
        <v>26420</v>
      </c>
      <c r="K512">
        <v>21037</v>
      </c>
      <c r="L512">
        <v>1</v>
      </c>
    </row>
    <row r="513" spans="1:12" x14ac:dyDescent="0.3">
      <c r="A513">
        <v>1512</v>
      </c>
      <c r="B513" s="1">
        <v>45320</v>
      </c>
      <c r="C513">
        <v>2024</v>
      </c>
      <c r="D513" t="s">
        <v>35</v>
      </c>
      <c r="E513" t="s">
        <v>13</v>
      </c>
      <c r="F513" t="s">
        <v>36</v>
      </c>
      <c r="G513" t="s">
        <v>37</v>
      </c>
      <c r="H513" t="s">
        <v>41</v>
      </c>
      <c r="I513" t="s">
        <v>23</v>
      </c>
      <c r="J513">
        <v>12985</v>
      </c>
      <c r="K513">
        <v>8117</v>
      </c>
      <c r="L513">
        <v>1</v>
      </c>
    </row>
    <row r="514" spans="1:12" x14ac:dyDescent="0.3">
      <c r="A514">
        <v>1513</v>
      </c>
      <c r="B514" s="1">
        <v>45531</v>
      </c>
      <c r="C514">
        <v>2024</v>
      </c>
      <c r="D514" t="s">
        <v>48</v>
      </c>
      <c r="E514" t="s">
        <v>13</v>
      </c>
      <c r="F514" t="s">
        <v>14</v>
      </c>
      <c r="G514" t="s">
        <v>15</v>
      </c>
      <c r="H514" t="s">
        <v>22</v>
      </c>
      <c r="I514" t="s">
        <v>23</v>
      </c>
      <c r="J514">
        <v>4279</v>
      </c>
      <c r="K514">
        <v>2910</v>
      </c>
      <c r="L514">
        <v>4</v>
      </c>
    </row>
    <row r="515" spans="1:12" x14ac:dyDescent="0.3">
      <c r="A515">
        <v>1514</v>
      </c>
      <c r="B515" s="1">
        <v>45575</v>
      </c>
      <c r="C515">
        <v>2024</v>
      </c>
      <c r="D515" t="s">
        <v>12</v>
      </c>
      <c r="E515" t="s">
        <v>19</v>
      </c>
      <c r="F515" t="s">
        <v>20</v>
      </c>
      <c r="G515" t="s">
        <v>21</v>
      </c>
      <c r="H515" t="s">
        <v>16</v>
      </c>
      <c r="I515" t="s">
        <v>17</v>
      </c>
      <c r="J515">
        <v>41699</v>
      </c>
      <c r="K515">
        <v>32751</v>
      </c>
      <c r="L515">
        <v>2</v>
      </c>
    </row>
    <row r="516" spans="1:12" x14ac:dyDescent="0.3">
      <c r="A516">
        <v>1515</v>
      </c>
      <c r="B516" s="1">
        <v>45305</v>
      </c>
      <c r="C516">
        <v>2024</v>
      </c>
      <c r="D516" t="s">
        <v>35</v>
      </c>
      <c r="E516" t="s">
        <v>24</v>
      </c>
      <c r="F516" t="s">
        <v>32</v>
      </c>
      <c r="G516" t="s">
        <v>33</v>
      </c>
      <c r="H516" t="s">
        <v>22</v>
      </c>
      <c r="I516" t="s">
        <v>23</v>
      </c>
      <c r="J516">
        <v>3728</v>
      </c>
      <c r="K516">
        <v>2633</v>
      </c>
      <c r="L516">
        <v>1</v>
      </c>
    </row>
    <row r="517" spans="1:12" x14ac:dyDescent="0.3">
      <c r="A517">
        <v>1516</v>
      </c>
      <c r="B517" s="1">
        <v>45216</v>
      </c>
      <c r="C517">
        <v>2023</v>
      </c>
      <c r="D517" t="s">
        <v>12</v>
      </c>
      <c r="E517" t="s">
        <v>19</v>
      </c>
      <c r="F517" t="s">
        <v>40</v>
      </c>
      <c r="G517" t="s">
        <v>40</v>
      </c>
      <c r="H517" t="s">
        <v>27</v>
      </c>
      <c r="I517" t="s">
        <v>17</v>
      </c>
      <c r="J517">
        <v>34202</v>
      </c>
      <c r="K517">
        <v>25610</v>
      </c>
      <c r="L517">
        <v>5</v>
      </c>
    </row>
    <row r="518" spans="1:12" x14ac:dyDescent="0.3">
      <c r="A518">
        <v>1517</v>
      </c>
      <c r="B518" s="1">
        <v>45182</v>
      </c>
      <c r="C518">
        <v>2023</v>
      </c>
      <c r="D518" t="s">
        <v>42</v>
      </c>
      <c r="E518" t="s">
        <v>24</v>
      </c>
      <c r="F518" t="s">
        <v>25</v>
      </c>
      <c r="G518" t="s">
        <v>26</v>
      </c>
      <c r="H518" t="s">
        <v>34</v>
      </c>
      <c r="I518" t="s">
        <v>23</v>
      </c>
      <c r="J518">
        <v>18802</v>
      </c>
      <c r="K518">
        <v>13621</v>
      </c>
      <c r="L518">
        <v>4</v>
      </c>
    </row>
    <row r="519" spans="1:12" x14ac:dyDescent="0.3">
      <c r="A519">
        <v>1518</v>
      </c>
      <c r="B519" s="1">
        <v>45440</v>
      </c>
      <c r="C519">
        <v>2024</v>
      </c>
      <c r="D519" t="s">
        <v>18</v>
      </c>
      <c r="E519" t="s">
        <v>24</v>
      </c>
      <c r="F519" t="s">
        <v>25</v>
      </c>
      <c r="G519" t="s">
        <v>26</v>
      </c>
      <c r="H519" t="s">
        <v>27</v>
      </c>
      <c r="I519" t="s">
        <v>17</v>
      </c>
      <c r="J519">
        <v>24735</v>
      </c>
      <c r="K519">
        <v>20801</v>
      </c>
      <c r="L519">
        <v>4</v>
      </c>
    </row>
    <row r="520" spans="1:12" x14ac:dyDescent="0.3">
      <c r="A520">
        <v>1519</v>
      </c>
      <c r="B520" s="1">
        <v>45603</v>
      </c>
      <c r="C520">
        <v>2024</v>
      </c>
      <c r="D520" t="s">
        <v>39</v>
      </c>
      <c r="E520" t="s">
        <v>19</v>
      </c>
      <c r="F520" t="s">
        <v>20</v>
      </c>
      <c r="G520" t="s">
        <v>21</v>
      </c>
      <c r="H520" t="s">
        <v>34</v>
      </c>
      <c r="I520" t="s">
        <v>23</v>
      </c>
      <c r="J520">
        <v>29819</v>
      </c>
      <c r="K520">
        <v>24360</v>
      </c>
      <c r="L520">
        <v>1</v>
      </c>
    </row>
    <row r="521" spans="1:12" x14ac:dyDescent="0.3">
      <c r="A521">
        <v>1520</v>
      </c>
      <c r="B521" s="1">
        <v>45595</v>
      </c>
      <c r="C521">
        <v>2024</v>
      </c>
      <c r="D521" t="s">
        <v>12</v>
      </c>
      <c r="E521" t="s">
        <v>13</v>
      </c>
      <c r="F521" t="s">
        <v>43</v>
      </c>
      <c r="G521" t="s">
        <v>44</v>
      </c>
      <c r="H521" t="s">
        <v>41</v>
      </c>
      <c r="I521" t="s">
        <v>23</v>
      </c>
      <c r="J521">
        <v>18873</v>
      </c>
      <c r="K521">
        <v>15537</v>
      </c>
      <c r="L521">
        <v>1</v>
      </c>
    </row>
    <row r="522" spans="1:12" x14ac:dyDescent="0.3">
      <c r="A522">
        <v>1521</v>
      </c>
      <c r="B522" s="1">
        <v>45653</v>
      </c>
      <c r="C522">
        <v>2024</v>
      </c>
      <c r="D522" t="s">
        <v>47</v>
      </c>
      <c r="E522" t="s">
        <v>13</v>
      </c>
      <c r="F522" t="s">
        <v>36</v>
      </c>
      <c r="G522" t="s">
        <v>37</v>
      </c>
      <c r="H522" t="s">
        <v>22</v>
      </c>
      <c r="I522" t="s">
        <v>23</v>
      </c>
      <c r="J522">
        <v>3924</v>
      </c>
      <c r="K522">
        <v>3299</v>
      </c>
      <c r="L522">
        <v>4</v>
      </c>
    </row>
    <row r="523" spans="1:12" x14ac:dyDescent="0.3">
      <c r="A523">
        <v>1522</v>
      </c>
      <c r="B523" s="1">
        <v>44957</v>
      </c>
      <c r="C523">
        <v>2023</v>
      </c>
      <c r="D523" t="s">
        <v>35</v>
      </c>
      <c r="E523" t="s">
        <v>19</v>
      </c>
      <c r="F523" t="s">
        <v>20</v>
      </c>
      <c r="G523" t="s">
        <v>21</v>
      </c>
      <c r="H523" t="s">
        <v>22</v>
      </c>
      <c r="I523" t="s">
        <v>23</v>
      </c>
      <c r="J523">
        <v>8616</v>
      </c>
      <c r="K523">
        <v>6087</v>
      </c>
      <c r="L523">
        <v>3</v>
      </c>
    </row>
    <row r="524" spans="1:12" x14ac:dyDescent="0.3">
      <c r="A524">
        <v>1523</v>
      </c>
      <c r="B524" s="1">
        <v>45551</v>
      </c>
      <c r="C524">
        <v>2024</v>
      </c>
      <c r="D524" t="s">
        <v>42</v>
      </c>
      <c r="E524" t="s">
        <v>13</v>
      </c>
      <c r="F524" t="s">
        <v>14</v>
      </c>
      <c r="G524" t="s">
        <v>15</v>
      </c>
      <c r="H524" t="s">
        <v>34</v>
      </c>
      <c r="I524" t="s">
        <v>23</v>
      </c>
      <c r="J524">
        <v>15473</v>
      </c>
      <c r="K524">
        <v>10834</v>
      </c>
      <c r="L524">
        <v>2</v>
      </c>
    </row>
    <row r="525" spans="1:12" x14ac:dyDescent="0.3">
      <c r="A525">
        <v>1524</v>
      </c>
      <c r="B525" s="1">
        <v>45173</v>
      </c>
      <c r="C525">
        <v>2023</v>
      </c>
      <c r="D525" t="s">
        <v>42</v>
      </c>
      <c r="E525" t="s">
        <v>19</v>
      </c>
      <c r="F525" t="s">
        <v>40</v>
      </c>
      <c r="G525" t="s">
        <v>40</v>
      </c>
      <c r="H525" t="s">
        <v>34</v>
      </c>
      <c r="I525" t="s">
        <v>23</v>
      </c>
      <c r="J525">
        <v>33139</v>
      </c>
      <c r="K525">
        <v>20060</v>
      </c>
      <c r="L525">
        <v>2</v>
      </c>
    </row>
    <row r="526" spans="1:12" x14ac:dyDescent="0.3">
      <c r="A526">
        <v>1525</v>
      </c>
      <c r="B526" s="1">
        <v>45540</v>
      </c>
      <c r="C526">
        <v>2024</v>
      </c>
      <c r="D526" t="s">
        <v>42</v>
      </c>
      <c r="E526" t="s">
        <v>19</v>
      </c>
      <c r="F526" t="s">
        <v>20</v>
      </c>
      <c r="G526" t="s">
        <v>21</v>
      </c>
      <c r="H526" t="s">
        <v>22</v>
      </c>
      <c r="I526" t="s">
        <v>23</v>
      </c>
      <c r="J526">
        <v>3158</v>
      </c>
      <c r="K526">
        <v>2296</v>
      </c>
      <c r="L526">
        <v>1</v>
      </c>
    </row>
    <row r="527" spans="1:12" x14ac:dyDescent="0.3">
      <c r="A527">
        <v>1526</v>
      </c>
      <c r="B527" s="1">
        <v>45556</v>
      </c>
      <c r="C527">
        <v>2024</v>
      </c>
      <c r="D527" t="s">
        <v>42</v>
      </c>
      <c r="E527" t="s">
        <v>13</v>
      </c>
      <c r="F527" t="s">
        <v>36</v>
      </c>
      <c r="G527" t="s">
        <v>37</v>
      </c>
      <c r="H527" t="s">
        <v>41</v>
      </c>
      <c r="I527" t="s">
        <v>23</v>
      </c>
      <c r="J527">
        <v>18227</v>
      </c>
      <c r="K527">
        <v>15098</v>
      </c>
      <c r="L527">
        <v>2</v>
      </c>
    </row>
    <row r="528" spans="1:12" x14ac:dyDescent="0.3">
      <c r="A528">
        <v>1527</v>
      </c>
      <c r="B528" s="1">
        <v>45271</v>
      </c>
      <c r="C528">
        <v>2023</v>
      </c>
      <c r="D528" t="s">
        <v>47</v>
      </c>
      <c r="E528" t="s">
        <v>13</v>
      </c>
      <c r="F528" t="s">
        <v>14</v>
      </c>
      <c r="G528" t="s">
        <v>15</v>
      </c>
      <c r="H528" t="s">
        <v>34</v>
      </c>
      <c r="I528" t="s">
        <v>23</v>
      </c>
      <c r="J528">
        <v>18335</v>
      </c>
      <c r="K528">
        <v>14499</v>
      </c>
      <c r="L528">
        <v>3</v>
      </c>
    </row>
    <row r="529" spans="1:12" x14ac:dyDescent="0.3">
      <c r="A529">
        <v>1528</v>
      </c>
      <c r="B529" s="1">
        <v>45303</v>
      </c>
      <c r="C529">
        <v>2024</v>
      </c>
      <c r="D529" t="s">
        <v>35</v>
      </c>
      <c r="E529" t="s">
        <v>19</v>
      </c>
      <c r="F529" t="s">
        <v>40</v>
      </c>
      <c r="G529" t="s">
        <v>40</v>
      </c>
      <c r="H529" t="s">
        <v>16</v>
      </c>
      <c r="I529" t="s">
        <v>17</v>
      </c>
      <c r="J529">
        <v>41692</v>
      </c>
      <c r="K529">
        <v>31220</v>
      </c>
      <c r="L529">
        <v>1</v>
      </c>
    </row>
    <row r="530" spans="1:12" x14ac:dyDescent="0.3">
      <c r="A530">
        <v>1529</v>
      </c>
      <c r="B530" s="1">
        <v>45410</v>
      </c>
      <c r="C530">
        <v>2024</v>
      </c>
      <c r="D530" t="s">
        <v>38</v>
      </c>
      <c r="E530" t="s">
        <v>19</v>
      </c>
      <c r="F530" t="s">
        <v>20</v>
      </c>
      <c r="G530" t="s">
        <v>21</v>
      </c>
      <c r="H530" t="s">
        <v>41</v>
      </c>
      <c r="I530" t="s">
        <v>23</v>
      </c>
      <c r="J530">
        <v>19487</v>
      </c>
      <c r="K530">
        <v>14963</v>
      </c>
      <c r="L530">
        <v>2</v>
      </c>
    </row>
    <row r="531" spans="1:12" x14ac:dyDescent="0.3">
      <c r="A531">
        <v>1530</v>
      </c>
      <c r="B531" s="1">
        <v>45610</v>
      </c>
      <c r="C531">
        <v>2024</v>
      </c>
      <c r="D531" t="s">
        <v>39</v>
      </c>
      <c r="E531" t="s">
        <v>19</v>
      </c>
      <c r="F531" t="s">
        <v>20</v>
      </c>
      <c r="G531" t="s">
        <v>21</v>
      </c>
      <c r="H531" t="s">
        <v>27</v>
      </c>
      <c r="I531" t="s">
        <v>17</v>
      </c>
      <c r="J531">
        <v>33952</v>
      </c>
      <c r="K531">
        <v>24418</v>
      </c>
      <c r="L531">
        <v>4</v>
      </c>
    </row>
    <row r="532" spans="1:12" x14ac:dyDescent="0.3">
      <c r="A532">
        <v>1531</v>
      </c>
      <c r="B532" s="1">
        <v>45024</v>
      </c>
      <c r="C532">
        <v>2023</v>
      </c>
      <c r="D532" t="s">
        <v>38</v>
      </c>
      <c r="E532" t="s">
        <v>24</v>
      </c>
      <c r="F532" t="s">
        <v>25</v>
      </c>
      <c r="G532" t="s">
        <v>26</v>
      </c>
      <c r="H532" t="s">
        <v>16</v>
      </c>
      <c r="I532" t="s">
        <v>17</v>
      </c>
      <c r="J532">
        <v>63614</v>
      </c>
      <c r="K532">
        <v>49416</v>
      </c>
      <c r="L532">
        <v>1</v>
      </c>
    </row>
    <row r="533" spans="1:12" x14ac:dyDescent="0.3">
      <c r="A533">
        <v>1532</v>
      </c>
      <c r="B533" s="1">
        <v>45539</v>
      </c>
      <c r="C533">
        <v>2024</v>
      </c>
      <c r="D533" t="s">
        <v>42</v>
      </c>
      <c r="E533" t="s">
        <v>13</v>
      </c>
      <c r="F533" t="s">
        <v>43</v>
      </c>
      <c r="G533" t="s">
        <v>44</v>
      </c>
      <c r="H533" t="s">
        <v>27</v>
      </c>
      <c r="I533" t="s">
        <v>17</v>
      </c>
      <c r="J533">
        <v>19777</v>
      </c>
      <c r="K533">
        <v>11905</v>
      </c>
      <c r="L533">
        <v>2</v>
      </c>
    </row>
    <row r="534" spans="1:12" x14ac:dyDescent="0.3">
      <c r="A534">
        <v>1533</v>
      </c>
      <c r="B534" s="1">
        <v>44962</v>
      </c>
      <c r="C534">
        <v>2023</v>
      </c>
      <c r="D534" t="s">
        <v>45</v>
      </c>
      <c r="E534" t="s">
        <v>24</v>
      </c>
      <c r="F534" t="s">
        <v>25</v>
      </c>
      <c r="G534" t="s">
        <v>29</v>
      </c>
      <c r="H534" t="s">
        <v>27</v>
      </c>
      <c r="I534" t="s">
        <v>17</v>
      </c>
      <c r="J534">
        <v>27999</v>
      </c>
      <c r="K534">
        <v>19057</v>
      </c>
      <c r="L534">
        <v>2</v>
      </c>
    </row>
    <row r="535" spans="1:12" x14ac:dyDescent="0.3">
      <c r="A535">
        <v>1534</v>
      </c>
      <c r="B535" s="1">
        <v>45340</v>
      </c>
      <c r="C535">
        <v>2024</v>
      </c>
      <c r="D535" t="s">
        <v>45</v>
      </c>
      <c r="E535" t="s">
        <v>24</v>
      </c>
      <c r="F535" t="s">
        <v>25</v>
      </c>
      <c r="G535" t="s">
        <v>26</v>
      </c>
      <c r="H535" t="s">
        <v>30</v>
      </c>
      <c r="I535" t="s">
        <v>23</v>
      </c>
      <c r="J535">
        <v>10702</v>
      </c>
      <c r="K535">
        <v>8278</v>
      </c>
      <c r="L535">
        <v>3</v>
      </c>
    </row>
    <row r="536" spans="1:12" x14ac:dyDescent="0.3">
      <c r="A536">
        <v>1535</v>
      </c>
      <c r="B536" s="1">
        <v>44975</v>
      </c>
      <c r="C536">
        <v>2023</v>
      </c>
      <c r="D536" t="s">
        <v>45</v>
      </c>
      <c r="E536" t="s">
        <v>19</v>
      </c>
      <c r="F536" t="s">
        <v>40</v>
      </c>
      <c r="G536" t="s">
        <v>40</v>
      </c>
      <c r="H536" t="s">
        <v>30</v>
      </c>
      <c r="I536" t="s">
        <v>23</v>
      </c>
      <c r="J536">
        <v>9877</v>
      </c>
      <c r="K536">
        <v>6197</v>
      </c>
      <c r="L536">
        <v>4</v>
      </c>
    </row>
    <row r="537" spans="1:12" x14ac:dyDescent="0.3">
      <c r="A537">
        <v>1536</v>
      </c>
      <c r="B537" s="1">
        <v>45289</v>
      </c>
      <c r="C537">
        <v>2023</v>
      </c>
      <c r="D537" t="s">
        <v>47</v>
      </c>
      <c r="E537" t="s">
        <v>13</v>
      </c>
      <c r="F537" t="s">
        <v>14</v>
      </c>
      <c r="G537" t="s">
        <v>15</v>
      </c>
      <c r="H537" t="s">
        <v>46</v>
      </c>
      <c r="I537" t="s">
        <v>17</v>
      </c>
      <c r="J537">
        <v>23790</v>
      </c>
      <c r="K537">
        <v>19724</v>
      </c>
      <c r="L537">
        <v>5</v>
      </c>
    </row>
    <row r="538" spans="1:12" x14ac:dyDescent="0.3">
      <c r="A538">
        <v>1537</v>
      </c>
      <c r="B538" s="1">
        <v>45021</v>
      </c>
      <c r="C538">
        <v>2023</v>
      </c>
      <c r="D538" t="s">
        <v>38</v>
      </c>
      <c r="E538" t="s">
        <v>13</v>
      </c>
      <c r="F538" t="s">
        <v>14</v>
      </c>
      <c r="G538" t="s">
        <v>15</v>
      </c>
      <c r="H538" t="s">
        <v>22</v>
      </c>
      <c r="I538" t="s">
        <v>23</v>
      </c>
      <c r="J538">
        <v>3649</v>
      </c>
      <c r="K538">
        <v>2772</v>
      </c>
      <c r="L538">
        <v>1</v>
      </c>
    </row>
    <row r="539" spans="1:12" x14ac:dyDescent="0.3">
      <c r="A539">
        <v>1538</v>
      </c>
      <c r="B539" s="1">
        <v>45374</v>
      </c>
      <c r="C539">
        <v>2024</v>
      </c>
      <c r="D539" t="s">
        <v>49</v>
      </c>
      <c r="E539" t="s">
        <v>19</v>
      </c>
      <c r="F539" t="s">
        <v>40</v>
      </c>
      <c r="G539" t="s">
        <v>40</v>
      </c>
      <c r="H539" t="s">
        <v>41</v>
      </c>
      <c r="I539" t="s">
        <v>23</v>
      </c>
      <c r="J539">
        <v>15377</v>
      </c>
      <c r="K539">
        <v>11722</v>
      </c>
      <c r="L539">
        <v>1</v>
      </c>
    </row>
    <row r="540" spans="1:12" x14ac:dyDescent="0.3">
      <c r="A540">
        <v>1539</v>
      </c>
      <c r="B540" s="1">
        <v>45496</v>
      </c>
      <c r="C540">
        <v>2024</v>
      </c>
      <c r="D540" t="s">
        <v>28</v>
      </c>
      <c r="E540" t="s">
        <v>19</v>
      </c>
      <c r="F540" t="s">
        <v>40</v>
      </c>
      <c r="G540" t="s">
        <v>40</v>
      </c>
      <c r="H540" t="s">
        <v>30</v>
      </c>
      <c r="I540" t="s">
        <v>23</v>
      </c>
      <c r="J540">
        <v>5781</v>
      </c>
      <c r="K540">
        <v>4413</v>
      </c>
      <c r="L540">
        <v>5</v>
      </c>
    </row>
    <row r="541" spans="1:12" x14ac:dyDescent="0.3">
      <c r="A541">
        <v>1540</v>
      </c>
      <c r="B541" s="1">
        <v>45384</v>
      </c>
      <c r="C541">
        <v>2024</v>
      </c>
      <c r="D541" t="s">
        <v>38</v>
      </c>
      <c r="E541" t="s">
        <v>24</v>
      </c>
      <c r="F541" t="s">
        <v>32</v>
      </c>
      <c r="G541" t="s">
        <v>33</v>
      </c>
      <c r="H541" t="s">
        <v>34</v>
      </c>
      <c r="I541" t="s">
        <v>23</v>
      </c>
      <c r="J541">
        <v>17392</v>
      </c>
      <c r="K541">
        <v>11249</v>
      </c>
      <c r="L541">
        <v>2</v>
      </c>
    </row>
    <row r="542" spans="1:12" x14ac:dyDescent="0.3">
      <c r="A542">
        <v>1541</v>
      </c>
      <c r="B542" s="1">
        <v>44997</v>
      </c>
      <c r="C542">
        <v>2023</v>
      </c>
      <c r="D542" t="s">
        <v>49</v>
      </c>
      <c r="E542" t="s">
        <v>19</v>
      </c>
      <c r="F542" t="s">
        <v>20</v>
      </c>
      <c r="G542" t="s">
        <v>21</v>
      </c>
      <c r="H542" t="s">
        <v>34</v>
      </c>
      <c r="I542" t="s">
        <v>23</v>
      </c>
      <c r="J542">
        <v>25565</v>
      </c>
      <c r="K542">
        <v>16185</v>
      </c>
      <c r="L542">
        <v>1</v>
      </c>
    </row>
    <row r="543" spans="1:12" x14ac:dyDescent="0.3">
      <c r="A543">
        <v>1542</v>
      </c>
      <c r="B543" s="1">
        <v>45328</v>
      </c>
      <c r="C543">
        <v>2024</v>
      </c>
      <c r="D543" t="s">
        <v>45</v>
      </c>
      <c r="E543" t="s">
        <v>19</v>
      </c>
      <c r="F543" t="s">
        <v>40</v>
      </c>
      <c r="G543" t="s">
        <v>40</v>
      </c>
      <c r="H543" t="s">
        <v>30</v>
      </c>
      <c r="I543" t="s">
        <v>23</v>
      </c>
      <c r="J543">
        <v>11550</v>
      </c>
      <c r="K543">
        <v>9146</v>
      </c>
      <c r="L543">
        <v>3</v>
      </c>
    </row>
    <row r="544" spans="1:12" x14ac:dyDescent="0.3">
      <c r="A544">
        <v>1543</v>
      </c>
      <c r="B544" s="1">
        <v>45516</v>
      </c>
      <c r="C544">
        <v>2024</v>
      </c>
      <c r="D544" t="s">
        <v>48</v>
      </c>
      <c r="E544" t="s">
        <v>13</v>
      </c>
      <c r="F544" t="s">
        <v>36</v>
      </c>
      <c r="G544" t="s">
        <v>37</v>
      </c>
      <c r="H544" t="s">
        <v>22</v>
      </c>
      <c r="I544" t="s">
        <v>23</v>
      </c>
      <c r="J544">
        <v>9703</v>
      </c>
      <c r="K544">
        <v>6717</v>
      </c>
      <c r="L544">
        <v>1</v>
      </c>
    </row>
    <row r="545" spans="1:12" x14ac:dyDescent="0.3">
      <c r="A545">
        <v>1544</v>
      </c>
      <c r="B545" s="1">
        <v>45236</v>
      </c>
      <c r="C545">
        <v>2023</v>
      </c>
      <c r="D545" t="s">
        <v>39</v>
      </c>
      <c r="E545" t="s">
        <v>24</v>
      </c>
      <c r="F545" t="s">
        <v>25</v>
      </c>
      <c r="G545" t="s">
        <v>29</v>
      </c>
      <c r="H545" t="s">
        <v>46</v>
      </c>
      <c r="I545" t="s">
        <v>17</v>
      </c>
      <c r="J545">
        <v>16551</v>
      </c>
      <c r="K545">
        <v>11487</v>
      </c>
      <c r="L545">
        <v>2</v>
      </c>
    </row>
    <row r="546" spans="1:12" x14ac:dyDescent="0.3">
      <c r="A546">
        <v>1545</v>
      </c>
      <c r="B546" s="1">
        <v>45453</v>
      </c>
      <c r="C546">
        <v>2024</v>
      </c>
      <c r="D546" t="s">
        <v>31</v>
      </c>
      <c r="E546" t="s">
        <v>19</v>
      </c>
      <c r="F546" t="s">
        <v>40</v>
      </c>
      <c r="G546" t="s">
        <v>40</v>
      </c>
      <c r="H546" t="s">
        <v>41</v>
      </c>
      <c r="I546" t="s">
        <v>23</v>
      </c>
      <c r="J546">
        <v>19319</v>
      </c>
      <c r="K546">
        <v>14307</v>
      </c>
      <c r="L546">
        <v>2</v>
      </c>
    </row>
    <row r="547" spans="1:12" x14ac:dyDescent="0.3">
      <c r="A547">
        <v>1546</v>
      </c>
      <c r="B547" s="1">
        <v>45082</v>
      </c>
      <c r="C547">
        <v>2023</v>
      </c>
      <c r="D547" t="s">
        <v>31</v>
      </c>
      <c r="E547" t="s">
        <v>24</v>
      </c>
      <c r="F547" t="s">
        <v>25</v>
      </c>
      <c r="G547" t="s">
        <v>26</v>
      </c>
      <c r="H547" t="s">
        <v>30</v>
      </c>
      <c r="I547" t="s">
        <v>23</v>
      </c>
      <c r="J547">
        <v>10921</v>
      </c>
      <c r="K547">
        <v>8774</v>
      </c>
      <c r="L547">
        <v>1</v>
      </c>
    </row>
    <row r="548" spans="1:12" x14ac:dyDescent="0.3">
      <c r="A548">
        <v>1547</v>
      </c>
      <c r="B548" s="1">
        <v>45472</v>
      </c>
      <c r="C548">
        <v>2024</v>
      </c>
      <c r="D548" t="s">
        <v>31</v>
      </c>
      <c r="E548" t="s">
        <v>13</v>
      </c>
      <c r="F548" t="s">
        <v>36</v>
      </c>
      <c r="G548" t="s">
        <v>37</v>
      </c>
      <c r="H548" t="s">
        <v>41</v>
      </c>
      <c r="I548" t="s">
        <v>23</v>
      </c>
      <c r="J548">
        <v>13407</v>
      </c>
      <c r="K548">
        <v>10618</v>
      </c>
      <c r="L548">
        <v>3</v>
      </c>
    </row>
    <row r="549" spans="1:12" x14ac:dyDescent="0.3">
      <c r="A549">
        <v>1548</v>
      </c>
      <c r="B549" s="1">
        <v>45219</v>
      </c>
      <c r="C549">
        <v>2023</v>
      </c>
      <c r="D549" t="s">
        <v>12</v>
      </c>
      <c r="E549" t="s">
        <v>24</v>
      </c>
      <c r="F549" t="s">
        <v>25</v>
      </c>
      <c r="G549" t="s">
        <v>29</v>
      </c>
      <c r="H549" t="s">
        <v>41</v>
      </c>
      <c r="I549" t="s">
        <v>23</v>
      </c>
      <c r="J549">
        <v>17352</v>
      </c>
      <c r="K549">
        <v>13901</v>
      </c>
      <c r="L549">
        <v>1</v>
      </c>
    </row>
    <row r="550" spans="1:12" x14ac:dyDescent="0.3">
      <c r="A550">
        <v>1549</v>
      </c>
      <c r="B550" s="1">
        <v>45405</v>
      </c>
      <c r="C550">
        <v>2024</v>
      </c>
      <c r="D550" t="s">
        <v>38</v>
      </c>
      <c r="E550" t="s">
        <v>24</v>
      </c>
      <c r="F550" t="s">
        <v>25</v>
      </c>
      <c r="G550" t="s">
        <v>26</v>
      </c>
      <c r="H550" t="s">
        <v>22</v>
      </c>
      <c r="I550" t="s">
        <v>23</v>
      </c>
      <c r="J550">
        <v>7935</v>
      </c>
      <c r="K550">
        <v>5734</v>
      </c>
      <c r="L550">
        <v>1</v>
      </c>
    </row>
    <row r="551" spans="1:12" x14ac:dyDescent="0.3">
      <c r="A551">
        <v>1550</v>
      </c>
      <c r="B551" s="1">
        <v>45059</v>
      </c>
      <c r="C551">
        <v>2023</v>
      </c>
      <c r="D551" t="s">
        <v>18</v>
      </c>
      <c r="E551" t="s">
        <v>19</v>
      </c>
      <c r="F551" t="s">
        <v>40</v>
      </c>
      <c r="G551" t="s">
        <v>40</v>
      </c>
      <c r="H551" t="s">
        <v>22</v>
      </c>
      <c r="I551" t="s">
        <v>23</v>
      </c>
      <c r="J551">
        <v>4246</v>
      </c>
      <c r="K551">
        <v>2704</v>
      </c>
      <c r="L551">
        <v>3</v>
      </c>
    </row>
    <row r="552" spans="1:12" x14ac:dyDescent="0.3">
      <c r="A552">
        <v>1551</v>
      </c>
      <c r="B552" s="1">
        <v>45168</v>
      </c>
      <c r="C552">
        <v>2023</v>
      </c>
      <c r="D552" t="s">
        <v>48</v>
      </c>
      <c r="E552" t="s">
        <v>24</v>
      </c>
      <c r="F552" t="s">
        <v>32</v>
      </c>
      <c r="G552" t="s">
        <v>33</v>
      </c>
      <c r="H552" t="s">
        <v>16</v>
      </c>
      <c r="I552" t="s">
        <v>17</v>
      </c>
      <c r="J552">
        <v>51954</v>
      </c>
      <c r="K552">
        <v>44129</v>
      </c>
      <c r="L552">
        <v>1</v>
      </c>
    </row>
    <row r="553" spans="1:12" x14ac:dyDescent="0.3">
      <c r="A553">
        <v>1552</v>
      </c>
      <c r="B553" s="1">
        <v>45547</v>
      </c>
      <c r="C553">
        <v>2024</v>
      </c>
      <c r="D553" t="s">
        <v>42</v>
      </c>
      <c r="E553" t="s">
        <v>13</v>
      </c>
      <c r="F553" t="s">
        <v>14</v>
      </c>
      <c r="G553" t="s">
        <v>15</v>
      </c>
      <c r="H553" t="s">
        <v>30</v>
      </c>
      <c r="I553" t="s">
        <v>23</v>
      </c>
      <c r="J553">
        <v>7228</v>
      </c>
      <c r="K553">
        <v>5342</v>
      </c>
      <c r="L553">
        <v>3</v>
      </c>
    </row>
    <row r="554" spans="1:12" x14ac:dyDescent="0.3">
      <c r="A554">
        <v>1553</v>
      </c>
      <c r="B554" s="1">
        <v>45107</v>
      </c>
      <c r="C554">
        <v>2023</v>
      </c>
      <c r="D554" t="s">
        <v>31</v>
      </c>
      <c r="E554" t="s">
        <v>13</v>
      </c>
      <c r="F554" t="s">
        <v>14</v>
      </c>
      <c r="G554" t="s">
        <v>15</v>
      </c>
      <c r="H554" t="s">
        <v>22</v>
      </c>
      <c r="I554" t="s">
        <v>23</v>
      </c>
      <c r="J554">
        <v>5071</v>
      </c>
      <c r="K554">
        <v>3856</v>
      </c>
      <c r="L554">
        <v>3</v>
      </c>
    </row>
    <row r="555" spans="1:12" x14ac:dyDescent="0.3">
      <c r="A555">
        <v>1554</v>
      </c>
      <c r="B555" s="1">
        <v>44972</v>
      </c>
      <c r="C555">
        <v>2023</v>
      </c>
      <c r="D555" t="s">
        <v>45</v>
      </c>
      <c r="E555" t="s">
        <v>13</v>
      </c>
      <c r="F555" t="s">
        <v>36</v>
      </c>
      <c r="G555" t="s">
        <v>37</v>
      </c>
      <c r="H555" t="s">
        <v>30</v>
      </c>
      <c r="I555" t="s">
        <v>23</v>
      </c>
      <c r="J555">
        <v>11064</v>
      </c>
      <c r="K555">
        <v>8141</v>
      </c>
      <c r="L555">
        <v>5</v>
      </c>
    </row>
    <row r="556" spans="1:12" x14ac:dyDescent="0.3">
      <c r="A556">
        <v>1555</v>
      </c>
      <c r="B556" s="1">
        <v>45411</v>
      </c>
      <c r="C556">
        <v>2024</v>
      </c>
      <c r="D556" t="s">
        <v>38</v>
      </c>
      <c r="E556" t="s">
        <v>24</v>
      </c>
      <c r="F556" t="s">
        <v>25</v>
      </c>
      <c r="G556" t="s">
        <v>29</v>
      </c>
      <c r="H556" t="s">
        <v>46</v>
      </c>
      <c r="I556" t="s">
        <v>17</v>
      </c>
      <c r="J556">
        <v>21045</v>
      </c>
      <c r="K556">
        <v>17776</v>
      </c>
      <c r="L556">
        <v>3</v>
      </c>
    </row>
    <row r="557" spans="1:12" x14ac:dyDescent="0.3">
      <c r="A557">
        <v>1556</v>
      </c>
      <c r="B557" s="1">
        <v>45171</v>
      </c>
      <c r="C557">
        <v>2023</v>
      </c>
      <c r="D557" t="s">
        <v>42</v>
      </c>
      <c r="E557" t="s">
        <v>24</v>
      </c>
      <c r="F557" t="s">
        <v>25</v>
      </c>
      <c r="G557" t="s">
        <v>29</v>
      </c>
      <c r="H557" t="s">
        <v>34</v>
      </c>
      <c r="I557" t="s">
        <v>23</v>
      </c>
      <c r="J557">
        <v>17435</v>
      </c>
      <c r="K557">
        <v>14562</v>
      </c>
      <c r="L557">
        <v>5</v>
      </c>
    </row>
    <row r="558" spans="1:12" x14ac:dyDescent="0.3">
      <c r="A558">
        <v>1557</v>
      </c>
      <c r="B558" s="1">
        <v>45089</v>
      </c>
      <c r="C558">
        <v>2023</v>
      </c>
      <c r="D558" t="s">
        <v>31</v>
      </c>
      <c r="E558" t="s">
        <v>13</v>
      </c>
      <c r="F558" t="s">
        <v>43</v>
      </c>
      <c r="G558" t="s">
        <v>44</v>
      </c>
      <c r="H558" t="s">
        <v>46</v>
      </c>
      <c r="I558" t="s">
        <v>17</v>
      </c>
      <c r="J558">
        <v>29931</v>
      </c>
      <c r="K558">
        <v>18508</v>
      </c>
      <c r="L558">
        <v>5</v>
      </c>
    </row>
    <row r="559" spans="1:12" x14ac:dyDescent="0.3">
      <c r="A559">
        <v>1558</v>
      </c>
      <c r="B559" s="1">
        <v>45494</v>
      </c>
      <c r="C559">
        <v>2024</v>
      </c>
      <c r="D559" t="s">
        <v>28</v>
      </c>
      <c r="E559" t="s">
        <v>24</v>
      </c>
      <c r="F559" t="s">
        <v>25</v>
      </c>
      <c r="G559" t="s">
        <v>29</v>
      </c>
      <c r="H559" t="s">
        <v>46</v>
      </c>
      <c r="I559" t="s">
        <v>17</v>
      </c>
      <c r="J559">
        <v>21984</v>
      </c>
      <c r="K559">
        <v>13976</v>
      </c>
      <c r="L559">
        <v>1</v>
      </c>
    </row>
    <row r="560" spans="1:12" x14ac:dyDescent="0.3">
      <c r="A560">
        <v>1559</v>
      </c>
      <c r="B560" s="1">
        <v>45012</v>
      </c>
      <c r="C560">
        <v>2023</v>
      </c>
      <c r="D560" t="s">
        <v>49</v>
      </c>
      <c r="E560" t="s">
        <v>24</v>
      </c>
      <c r="F560" t="s">
        <v>25</v>
      </c>
      <c r="G560" t="s">
        <v>29</v>
      </c>
      <c r="H560" t="s">
        <v>41</v>
      </c>
      <c r="I560" t="s">
        <v>23</v>
      </c>
      <c r="J560">
        <v>7159</v>
      </c>
      <c r="K560">
        <v>5715</v>
      </c>
      <c r="L560">
        <v>1</v>
      </c>
    </row>
    <row r="561" spans="1:12" x14ac:dyDescent="0.3">
      <c r="A561">
        <v>1560</v>
      </c>
      <c r="B561" s="1">
        <v>45248</v>
      </c>
      <c r="C561">
        <v>2023</v>
      </c>
      <c r="D561" t="s">
        <v>39</v>
      </c>
      <c r="E561" t="s">
        <v>24</v>
      </c>
      <c r="F561" t="s">
        <v>25</v>
      </c>
      <c r="G561" t="s">
        <v>26</v>
      </c>
      <c r="H561" t="s">
        <v>41</v>
      </c>
      <c r="I561" t="s">
        <v>23</v>
      </c>
      <c r="J561">
        <v>17051</v>
      </c>
      <c r="K561">
        <v>10709</v>
      </c>
      <c r="L561">
        <v>2</v>
      </c>
    </row>
    <row r="562" spans="1:12" x14ac:dyDescent="0.3">
      <c r="A562">
        <v>1561</v>
      </c>
      <c r="B562" s="1">
        <v>45180</v>
      </c>
      <c r="C562">
        <v>2023</v>
      </c>
      <c r="D562" t="s">
        <v>42</v>
      </c>
      <c r="E562" t="s">
        <v>13</v>
      </c>
      <c r="F562" t="s">
        <v>43</v>
      </c>
      <c r="G562" t="s">
        <v>44</v>
      </c>
      <c r="H562" t="s">
        <v>27</v>
      </c>
      <c r="I562" t="s">
        <v>17</v>
      </c>
      <c r="J562">
        <v>24937</v>
      </c>
      <c r="K562">
        <v>16388</v>
      </c>
      <c r="L562">
        <v>5</v>
      </c>
    </row>
    <row r="563" spans="1:12" x14ac:dyDescent="0.3">
      <c r="A563">
        <v>1562</v>
      </c>
      <c r="B563" s="1">
        <v>45148</v>
      </c>
      <c r="C563">
        <v>2023</v>
      </c>
      <c r="D563" t="s">
        <v>48</v>
      </c>
      <c r="E563" t="s">
        <v>19</v>
      </c>
      <c r="F563" t="s">
        <v>20</v>
      </c>
      <c r="G563" t="s">
        <v>21</v>
      </c>
      <c r="H563" t="s">
        <v>16</v>
      </c>
      <c r="I563" t="s">
        <v>17</v>
      </c>
      <c r="J563">
        <v>40384</v>
      </c>
      <c r="K563">
        <v>31468</v>
      </c>
      <c r="L563">
        <v>5</v>
      </c>
    </row>
    <row r="564" spans="1:12" x14ac:dyDescent="0.3">
      <c r="A564">
        <v>1563</v>
      </c>
      <c r="B564" s="1">
        <v>45539</v>
      </c>
      <c r="C564">
        <v>2024</v>
      </c>
      <c r="D564" t="s">
        <v>42</v>
      </c>
      <c r="E564" t="s">
        <v>19</v>
      </c>
      <c r="F564" t="s">
        <v>20</v>
      </c>
      <c r="G564" t="s">
        <v>21</v>
      </c>
      <c r="H564" t="s">
        <v>22</v>
      </c>
      <c r="I564" t="s">
        <v>23</v>
      </c>
      <c r="J564">
        <v>5504</v>
      </c>
      <c r="K564">
        <v>3361</v>
      </c>
      <c r="L564">
        <v>1</v>
      </c>
    </row>
    <row r="565" spans="1:12" x14ac:dyDescent="0.3">
      <c r="A565">
        <v>1564</v>
      </c>
      <c r="B565" s="1">
        <v>45489</v>
      </c>
      <c r="C565">
        <v>2024</v>
      </c>
      <c r="D565" t="s">
        <v>28</v>
      </c>
      <c r="E565" t="s">
        <v>13</v>
      </c>
      <c r="F565" t="s">
        <v>43</v>
      </c>
      <c r="G565" t="s">
        <v>44</v>
      </c>
      <c r="H565" t="s">
        <v>27</v>
      </c>
      <c r="I565" t="s">
        <v>17</v>
      </c>
      <c r="J565">
        <v>24528</v>
      </c>
      <c r="K565">
        <v>20107</v>
      </c>
      <c r="L565">
        <v>2</v>
      </c>
    </row>
    <row r="566" spans="1:12" x14ac:dyDescent="0.3">
      <c r="A566">
        <v>1565</v>
      </c>
      <c r="B566" s="1">
        <v>45628</v>
      </c>
      <c r="C566">
        <v>2024</v>
      </c>
      <c r="D566" t="s">
        <v>47</v>
      </c>
      <c r="E566" t="s">
        <v>13</v>
      </c>
      <c r="F566" t="s">
        <v>43</v>
      </c>
      <c r="G566" t="s">
        <v>44</v>
      </c>
      <c r="H566" t="s">
        <v>46</v>
      </c>
      <c r="I566" t="s">
        <v>17</v>
      </c>
      <c r="J566">
        <v>28635</v>
      </c>
      <c r="K566">
        <v>18069</v>
      </c>
      <c r="L566">
        <v>4</v>
      </c>
    </row>
    <row r="567" spans="1:12" x14ac:dyDescent="0.3">
      <c r="A567">
        <v>1566</v>
      </c>
      <c r="B567" s="1">
        <v>45063</v>
      </c>
      <c r="C567">
        <v>2023</v>
      </c>
      <c r="D567" t="s">
        <v>18</v>
      </c>
      <c r="E567" t="s">
        <v>19</v>
      </c>
      <c r="F567" t="s">
        <v>20</v>
      </c>
      <c r="G567" t="s">
        <v>21</v>
      </c>
      <c r="H567" t="s">
        <v>22</v>
      </c>
      <c r="I567" t="s">
        <v>23</v>
      </c>
      <c r="J567">
        <v>3971</v>
      </c>
      <c r="K567">
        <v>2516</v>
      </c>
      <c r="L567">
        <v>4</v>
      </c>
    </row>
    <row r="568" spans="1:12" x14ac:dyDescent="0.3">
      <c r="A568">
        <v>1567</v>
      </c>
      <c r="B568" s="1">
        <v>45223</v>
      </c>
      <c r="C568">
        <v>2023</v>
      </c>
      <c r="D568" t="s">
        <v>12</v>
      </c>
      <c r="E568" t="s">
        <v>24</v>
      </c>
      <c r="F568" t="s">
        <v>25</v>
      </c>
      <c r="G568" t="s">
        <v>26</v>
      </c>
      <c r="H568" t="s">
        <v>34</v>
      </c>
      <c r="I568" t="s">
        <v>23</v>
      </c>
      <c r="J568">
        <v>37396</v>
      </c>
      <c r="K568">
        <v>27616</v>
      </c>
      <c r="L568">
        <v>4</v>
      </c>
    </row>
    <row r="569" spans="1:12" x14ac:dyDescent="0.3">
      <c r="A569">
        <v>1568</v>
      </c>
      <c r="B569" s="1">
        <v>45631</v>
      </c>
      <c r="C569">
        <v>2024</v>
      </c>
      <c r="D569" t="s">
        <v>47</v>
      </c>
      <c r="E569" t="s">
        <v>19</v>
      </c>
      <c r="F569" t="s">
        <v>20</v>
      </c>
      <c r="G569" t="s">
        <v>21</v>
      </c>
      <c r="H569" t="s">
        <v>30</v>
      </c>
      <c r="I569" t="s">
        <v>23</v>
      </c>
      <c r="J569">
        <v>7230</v>
      </c>
      <c r="K569">
        <v>5442</v>
      </c>
      <c r="L569">
        <v>5</v>
      </c>
    </row>
    <row r="570" spans="1:12" x14ac:dyDescent="0.3">
      <c r="A570">
        <v>1569</v>
      </c>
      <c r="B570" s="1">
        <v>45203</v>
      </c>
      <c r="C570">
        <v>2023</v>
      </c>
      <c r="D570" t="s">
        <v>12</v>
      </c>
      <c r="E570" t="s">
        <v>19</v>
      </c>
      <c r="F570" t="s">
        <v>40</v>
      </c>
      <c r="G570" t="s">
        <v>40</v>
      </c>
      <c r="H570" t="s">
        <v>30</v>
      </c>
      <c r="I570" t="s">
        <v>23</v>
      </c>
      <c r="J570">
        <v>10554</v>
      </c>
      <c r="K570">
        <v>8421</v>
      </c>
      <c r="L570">
        <v>3</v>
      </c>
    </row>
    <row r="571" spans="1:12" x14ac:dyDescent="0.3">
      <c r="A571">
        <v>1570</v>
      </c>
      <c r="B571" s="1">
        <v>44993</v>
      </c>
      <c r="C571">
        <v>2023</v>
      </c>
      <c r="D571" t="s">
        <v>49</v>
      </c>
      <c r="E571" t="s">
        <v>19</v>
      </c>
      <c r="F571" t="s">
        <v>20</v>
      </c>
      <c r="G571" t="s">
        <v>21</v>
      </c>
      <c r="H571" t="s">
        <v>46</v>
      </c>
      <c r="I571" t="s">
        <v>17</v>
      </c>
      <c r="J571">
        <v>24422</v>
      </c>
      <c r="K571">
        <v>18949</v>
      </c>
      <c r="L571">
        <v>1</v>
      </c>
    </row>
    <row r="572" spans="1:12" x14ac:dyDescent="0.3">
      <c r="A572">
        <v>1571</v>
      </c>
      <c r="B572" s="1">
        <v>45063</v>
      </c>
      <c r="C572">
        <v>2023</v>
      </c>
      <c r="D572" t="s">
        <v>18</v>
      </c>
      <c r="E572" t="s">
        <v>13</v>
      </c>
      <c r="F572" t="s">
        <v>36</v>
      </c>
      <c r="G572" t="s">
        <v>37</v>
      </c>
      <c r="H572" t="s">
        <v>22</v>
      </c>
      <c r="I572" t="s">
        <v>23</v>
      </c>
      <c r="J572">
        <v>8114</v>
      </c>
      <c r="K572">
        <v>5835</v>
      </c>
      <c r="L572">
        <v>4</v>
      </c>
    </row>
    <row r="573" spans="1:12" x14ac:dyDescent="0.3">
      <c r="A573">
        <v>1572</v>
      </c>
      <c r="B573" s="1">
        <v>45357</v>
      </c>
      <c r="C573">
        <v>2024</v>
      </c>
      <c r="D573" t="s">
        <v>49</v>
      </c>
      <c r="E573" t="s">
        <v>19</v>
      </c>
      <c r="F573" t="s">
        <v>40</v>
      </c>
      <c r="G573" t="s">
        <v>40</v>
      </c>
      <c r="H573" t="s">
        <v>46</v>
      </c>
      <c r="I573" t="s">
        <v>17</v>
      </c>
      <c r="J573">
        <v>23867</v>
      </c>
      <c r="K573">
        <v>15563</v>
      </c>
      <c r="L573">
        <v>1</v>
      </c>
    </row>
    <row r="574" spans="1:12" x14ac:dyDescent="0.3">
      <c r="A574">
        <v>1573</v>
      </c>
      <c r="B574" s="1">
        <v>45208</v>
      </c>
      <c r="C574">
        <v>2023</v>
      </c>
      <c r="D574" t="s">
        <v>12</v>
      </c>
      <c r="E574" t="s">
        <v>13</v>
      </c>
      <c r="F574" t="s">
        <v>36</v>
      </c>
      <c r="G574" t="s">
        <v>37</v>
      </c>
      <c r="H574" t="s">
        <v>16</v>
      </c>
      <c r="I574" t="s">
        <v>17</v>
      </c>
      <c r="J574">
        <v>64184</v>
      </c>
      <c r="K574">
        <v>53294</v>
      </c>
      <c r="L574">
        <v>5</v>
      </c>
    </row>
    <row r="575" spans="1:12" x14ac:dyDescent="0.3">
      <c r="A575">
        <v>1574</v>
      </c>
      <c r="B575" s="1">
        <v>45597</v>
      </c>
      <c r="C575">
        <v>2024</v>
      </c>
      <c r="D575" t="s">
        <v>39</v>
      </c>
      <c r="E575" t="s">
        <v>24</v>
      </c>
      <c r="F575" t="s">
        <v>32</v>
      </c>
      <c r="G575" t="s">
        <v>33</v>
      </c>
      <c r="H575" t="s">
        <v>30</v>
      </c>
      <c r="I575" t="s">
        <v>23</v>
      </c>
      <c r="J575">
        <v>13310</v>
      </c>
      <c r="K575">
        <v>11143</v>
      </c>
      <c r="L575">
        <v>2</v>
      </c>
    </row>
    <row r="576" spans="1:12" x14ac:dyDescent="0.3">
      <c r="A576">
        <v>1575</v>
      </c>
      <c r="B576" s="1">
        <v>45478</v>
      </c>
      <c r="C576">
        <v>2024</v>
      </c>
      <c r="D576" t="s">
        <v>28</v>
      </c>
      <c r="E576" t="s">
        <v>13</v>
      </c>
      <c r="F576" t="s">
        <v>43</v>
      </c>
      <c r="G576" t="s">
        <v>44</v>
      </c>
      <c r="H576" t="s">
        <v>22</v>
      </c>
      <c r="I576" t="s">
        <v>23</v>
      </c>
      <c r="J576">
        <v>9175</v>
      </c>
      <c r="K576">
        <v>6498</v>
      </c>
      <c r="L576">
        <v>2</v>
      </c>
    </row>
    <row r="577" spans="1:12" x14ac:dyDescent="0.3">
      <c r="A577">
        <v>1576</v>
      </c>
      <c r="B577" s="1">
        <v>45399</v>
      </c>
      <c r="C577">
        <v>2024</v>
      </c>
      <c r="D577" t="s">
        <v>38</v>
      </c>
      <c r="E577" t="s">
        <v>13</v>
      </c>
      <c r="F577" t="s">
        <v>43</v>
      </c>
      <c r="G577" t="s">
        <v>44</v>
      </c>
      <c r="H577" t="s">
        <v>16</v>
      </c>
      <c r="I577" t="s">
        <v>17</v>
      </c>
      <c r="J577">
        <v>52932</v>
      </c>
      <c r="K577">
        <v>37666</v>
      </c>
      <c r="L577">
        <v>5</v>
      </c>
    </row>
    <row r="578" spans="1:12" x14ac:dyDescent="0.3">
      <c r="A578">
        <v>1577</v>
      </c>
      <c r="B578" s="1">
        <v>45565</v>
      </c>
      <c r="C578">
        <v>2024</v>
      </c>
      <c r="D578" t="s">
        <v>42</v>
      </c>
      <c r="E578" t="s">
        <v>13</v>
      </c>
      <c r="F578" t="s">
        <v>36</v>
      </c>
      <c r="G578" t="s">
        <v>37</v>
      </c>
      <c r="H578" t="s">
        <v>34</v>
      </c>
      <c r="I578" t="s">
        <v>23</v>
      </c>
      <c r="J578">
        <v>38096</v>
      </c>
      <c r="K578">
        <v>23729</v>
      </c>
      <c r="L578">
        <v>5</v>
      </c>
    </row>
    <row r="579" spans="1:12" x14ac:dyDescent="0.3">
      <c r="A579">
        <v>1578</v>
      </c>
      <c r="B579" s="1">
        <v>45634</v>
      </c>
      <c r="C579">
        <v>2024</v>
      </c>
      <c r="D579" t="s">
        <v>47</v>
      </c>
      <c r="E579" t="s">
        <v>13</v>
      </c>
      <c r="F579" t="s">
        <v>43</v>
      </c>
      <c r="G579" t="s">
        <v>44</v>
      </c>
      <c r="H579" t="s">
        <v>16</v>
      </c>
      <c r="I579" t="s">
        <v>17</v>
      </c>
      <c r="J579">
        <v>66194</v>
      </c>
      <c r="K579">
        <v>43747</v>
      </c>
      <c r="L579">
        <v>3</v>
      </c>
    </row>
    <row r="580" spans="1:12" x14ac:dyDescent="0.3">
      <c r="A580">
        <v>1579</v>
      </c>
      <c r="B580" s="1">
        <v>45179</v>
      </c>
      <c r="C580">
        <v>2023</v>
      </c>
      <c r="D580" t="s">
        <v>42</v>
      </c>
      <c r="E580" t="s">
        <v>13</v>
      </c>
      <c r="F580" t="s">
        <v>36</v>
      </c>
      <c r="G580" t="s">
        <v>37</v>
      </c>
      <c r="H580" t="s">
        <v>22</v>
      </c>
      <c r="I580" t="s">
        <v>23</v>
      </c>
      <c r="J580">
        <v>8844</v>
      </c>
      <c r="K580">
        <v>6444</v>
      </c>
      <c r="L580">
        <v>5</v>
      </c>
    </row>
    <row r="581" spans="1:12" x14ac:dyDescent="0.3">
      <c r="A581">
        <v>1580</v>
      </c>
      <c r="B581" s="1">
        <v>45165</v>
      </c>
      <c r="C581">
        <v>2023</v>
      </c>
      <c r="D581" t="s">
        <v>48</v>
      </c>
      <c r="E581" t="s">
        <v>13</v>
      </c>
      <c r="F581" t="s">
        <v>43</v>
      </c>
      <c r="G581" t="s">
        <v>44</v>
      </c>
      <c r="H581" t="s">
        <v>22</v>
      </c>
      <c r="I581" t="s">
        <v>23</v>
      </c>
      <c r="J581">
        <v>6893</v>
      </c>
      <c r="K581">
        <v>4264</v>
      </c>
      <c r="L581">
        <v>4</v>
      </c>
    </row>
    <row r="582" spans="1:12" x14ac:dyDescent="0.3">
      <c r="A582">
        <v>1581</v>
      </c>
      <c r="B582" s="1">
        <v>45088</v>
      </c>
      <c r="C582">
        <v>2023</v>
      </c>
      <c r="D582" t="s">
        <v>31</v>
      </c>
      <c r="E582" t="s">
        <v>24</v>
      </c>
      <c r="F582" t="s">
        <v>25</v>
      </c>
      <c r="G582" t="s">
        <v>29</v>
      </c>
      <c r="H582" t="s">
        <v>41</v>
      </c>
      <c r="I582" t="s">
        <v>23</v>
      </c>
      <c r="J582">
        <v>8588</v>
      </c>
      <c r="K582">
        <v>5805</v>
      </c>
      <c r="L582">
        <v>1</v>
      </c>
    </row>
    <row r="583" spans="1:12" x14ac:dyDescent="0.3">
      <c r="A583">
        <v>1582</v>
      </c>
      <c r="B583" s="1">
        <v>45304</v>
      </c>
      <c r="C583">
        <v>2024</v>
      </c>
      <c r="D583" t="s">
        <v>35</v>
      </c>
      <c r="E583" t="s">
        <v>19</v>
      </c>
      <c r="F583" t="s">
        <v>20</v>
      </c>
      <c r="G583" t="s">
        <v>21</v>
      </c>
      <c r="H583" t="s">
        <v>46</v>
      </c>
      <c r="I583" t="s">
        <v>17</v>
      </c>
      <c r="J583">
        <v>24930</v>
      </c>
      <c r="K583">
        <v>15095</v>
      </c>
      <c r="L583">
        <v>5</v>
      </c>
    </row>
    <row r="584" spans="1:12" x14ac:dyDescent="0.3">
      <c r="A584">
        <v>1583</v>
      </c>
      <c r="B584" s="1">
        <v>45635</v>
      </c>
      <c r="C584">
        <v>2024</v>
      </c>
      <c r="D584" t="s">
        <v>47</v>
      </c>
      <c r="E584" t="s">
        <v>13</v>
      </c>
      <c r="F584" t="s">
        <v>36</v>
      </c>
      <c r="G584" t="s">
        <v>37</v>
      </c>
      <c r="H584" t="s">
        <v>22</v>
      </c>
      <c r="I584" t="s">
        <v>23</v>
      </c>
      <c r="J584">
        <v>5887</v>
      </c>
      <c r="K584">
        <v>4838</v>
      </c>
      <c r="L584">
        <v>5</v>
      </c>
    </row>
    <row r="585" spans="1:12" x14ac:dyDescent="0.3">
      <c r="A585">
        <v>1584</v>
      </c>
      <c r="B585" s="1">
        <v>45445</v>
      </c>
      <c r="C585">
        <v>2024</v>
      </c>
      <c r="D585" t="s">
        <v>31</v>
      </c>
      <c r="E585" t="s">
        <v>13</v>
      </c>
      <c r="F585" t="s">
        <v>36</v>
      </c>
      <c r="G585" t="s">
        <v>37</v>
      </c>
      <c r="H585" t="s">
        <v>46</v>
      </c>
      <c r="I585" t="s">
        <v>17</v>
      </c>
      <c r="J585">
        <v>23528</v>
      </c>
      <c r="K585">
        <v>16999</v>
      </c>
      <c r="L585">
        <v>3</v>
      </c>
    </row>
    <row r="586" spans="1:12" x14ac:dyDescent="0.3">
      <c r="A586">
        <v>1585</v>
      </c>
      <c r="B586" s="1">
        <v>45109</v>
      </c>
      <c r="C586">
        <v>2023</v>
      </c>
      <c r="D586" t="s">
        <v>28</v>
      </c>
      <c r="E586" t="s">
        <v>24</v>
      </c>
      <c r="F586" t="s">
        <v>25</v>
      </c>
      <c r="G586" t="s">
        <v>29</v>
      </c>
      <c r="H586" t="s">
        <v>46</v>
      </c>
      <c r="I586" t="s">
        <v>17</v>
      </c>
      <c r="J586">
        <v>22824</v>
      </c>
      <c r="K586">
        <v>14903</v>
      </c>
      <c r="L586">
        <v>3</v>
      </c>
    </row>
    <row r="587" spans="1:12" x14ac:dyDescent="0.3">
      <c r="A587">
        <v>1586</v>
      </c>
      <c r="B587" s="1">
        <v>45642</v>
      </c>
      <c r="C587">
        <v>2024</v>
      </c>
      <c r="D587" t="s">
        <v>47</v>
      </c>
      <c r="E587" t="s">
        <v>19</v>
      </c>
      <c r="F587" t="s">
        <v>40</v>
      </c>
      <c r="G587" t="s">
        <v>40</v>
      </c>
      <c r="H587" t="s">
        <v>34</v>
      </c>
      <c r="I587" t="s">
        <v>23</v>
      </c>
      <c r="J587">
        <v>24326</v>
      </c>
      <c r="K587">
        <v>19601</v>
      </c>
      <c r="L587">
        <v>4</v>
      </c>
    </row>
    <row r="588" spans="1:12" x14ac:dyDescent="0.3">
      <c r="A588">
        <v>1587</v>
      </c>
      <c r="B588" s="1">
        <v>45416</v>
      </c>
      <c r="C588">
        <v>2024</v>
      </c>
      <c r="D588" t="s">
        <v>18</v>
      </c>
      <c r="E588" t="s">
        <v>19</v>
      </c>
      <c r="F588" t="s">
        <v>20</v>
      </c>
      <c r="G588" t="s">
        <v>21</v>
      </c>
      <c r="H588" t="s">
        <v>41</v>
      </c>
      <c r="I588" t="s">
        <v>23</v>
      </c>
      <c r="J588">
        <v>7704</v>
      </c>
      <c r="K588">
        <v>4671</v>
      </c>
      <c r="L588">
        <v>4</v>
      </c>
    </row>
    <row r="589" spans="1:12" x14ac:dyDescent="0.3">
      <c r="A589">
        <v>1588</v>
      </c>
      <c r="B589" s="1">
        <v>45296</v>
      </c>
      <c r="C589">
        <v>2024</v>
      </c>
      <c r="D589" t="s">
        <v>35</v>
      </c>
      <c r="E589" t="s">
        <v>19</v>
      </c>
      <c r="F589" t="s">
        <v>40</v>
      </c>
      <c r="G589" t="s">
        <v>40</v>
      </c>
      <c r="H589" t="s">
        <v>27</v>
      </c>
      <c r="I589" t="s">
        <v>17</v>
      </c>
      <c r="J589">
        <v>15761</v>
      </c>
      <c r="K589">
        <v>10280</v>
      </c>
      <c r="L589">
        <v>1</v>
      </c>
    </row>
    <row r="590" spans="1:12" x14ac:dyDescent="0.3">
      <c r="A590">
        <v>1589</v>
      </c>
      <c r="B590" s="1">
        <v>45130</v>
      </c>
      <c r="C590">
        <v>2023</v>
      </c>
      <c r="D590" t="s">
        <v>28</v>
      </c>
      <c r="E590" t="s">
        <v>19</v>
      </c>
      <c r="F590" t="s">
        <v>40</v>
      </c>
      <c r="G590" t="s">
        <v>40</v>
      </c>
      <c r="H590" t="s">
        <v>46</v>
      </c>
      <c r="I590" t="s">
        <v>17</v>
      </c>
      <c r="J590">
        <v>20030</v>
      </c>
      <c r="K590">
        <v>16285</v>
      </c>
      <c r="L590">
        <v>4</v>
      </c>
    </row>
    <row r="591" spans="1:12" x14ac:dyDescent="0.3">
      <c r="A591">
        <v>1590</v>
      </c>
      <c r="B591" s="1">
        <v>45044</v>
      </c>
      <c r="C591">
        <v>2023</v>
      </c>
      <c r="D591" t="s">
        <v>38</v>
      </c>
      <c r="E591" t="s">
        <v>13</v>
      </c>
      <c r="F591" t="s">
        <v>36</v>
      </c>
      <c r="G591" t="s">
        <v>37</v>
      </c>
      <c r="H591" t="s">
        <v>16</v>
      </c>
      <c r="I591" t="s">
        <v>17</v>
      </c>
      <c r="J591">
        <v>57860</v>
      </c>
      <c r="K591">
        <v>35080</v>
      </c>
      <c r="L591">
        <v>1</v>
      </c>
    </row>
    <row r="592" spans="1:12" x14ac:dyDescent="0.3">
      <c r="A592">
        <v>1591</v>
      </c>
      <c r="B592" s="1">
        <v>45619</v>
      </c>
      <c r="C592">
        <v>2024</v>
      </c>
      <c r="D592" t="s">
        <v>39</v>
      </c>
      <c r="E592" t="s">
        <v>24</v>
      </c>
      <c r="F592" t="s">
        <v>32</v>
      </c>
      <c r="G592" t="s">
        <v>33</v>
      </c>
      <c r="H592" t="s">
        <v>27</v>
      </c>
      <c r="I592" t="s">
        <v>17</v>
      </c>
      <c r="J592">
        <v>26736</v>
      </c>
      <c r="K592">
        <v>19913</v>
      </c>
      <c r="L592">
        <v>3</v>
      </c>
    </row>
    <row r="593" spans="1:12" x14ac:dyDescent="0.3">
      <c r="A593">
        <v>1592</v>
      </c>
      <c r="B593" s="1">
        <v>45049</v>
      </c>
      <c r="C593">
        <v>2023</v>
      </c>
      <c r="D593" t="s">
        <v>18</v>
      </c>
      <c r="E593" t="s">
        <v>13</v>
      </c>
      <c r="F593" t="s">
        <v>14</v>
      </c>
      <c r="G593" t="s">
        <v>15</v>
      </c>
      <c r="H593" t="s">
        <v>27</v>
      </c>
      <c r="I593" t="s">
        <v>17</v>
      </c>
      <c r="J593">
        <v>18172</v>
      </c>
      <c r="K593">
        <v>12752</v>
      </c>
      <c r="L593">
        <v>1</v>
      </c>
    </row>
    <row r="594" spans="1:12" x14ac:dyDescent="0.3">
      <c r="A594">
        <v>1593</v>
      </c>
      <c r="B594" s="1">
        <v>45098</v>
      </c>
      <c r="C594">
        <v>2023</v>
      </c>
      <c r="D594" t="s">
        <v>31</v>
      </c>
      <c r="E594" t="s">
        <v>19</v>
      </c>
      <c r="F594" t="s">
        <v>40</v>
      </c>
      <c r="G594" t="s">
        <v>40</v>
      </c>
      <c r="H594" t="s">
        <v>27</v>
      </c>
      <c r="I594" t="s">
        <v>17</v>
      </c>
      <c r="J594">
        <v>22403</v>
      </c>
      <c r="K594">
        <v>17076</v>
      </c>
      <c r="L594">
        <v>2</v>
      </c>
    </row>
    <row r="595" spans="1:12" x14ac:dyDescent="0.3">
      <c r="A595">
        <v>1594</v>
      </c>
      <c r="B595" s="1">
        <v>45445</v>
      </c>
      <c r="C595">
        <v>2024</v>
      </c>
      <c r="D595" t="s">
        <v>31</v>
      </c>
      <c r="E595" t="s">
        <v>13</v>
      </c>
      <c r="F595" t="s">
        <v>43</v>
      </c>
      <c r="G595" t="s">
        <v>44</v>
      </c>
      <c r="H595" t="s">
        <v>41</v>
      </c>
      <c r="I595" t="s">
        <v>23</v>
      </c>
      <c r="J595">
        <v>8362</v>
      </c>
      <c r="K595">
        <v>7084</v>
      </c>
      <c r="L595">
        <v>3</v>
      </c>
    </row>
    <row r="596" spans="1:12" x14ac:dyDescent="0.3">
      <c r="A596">
        <v>1595</v>
      </c>
      <c r="B596" s="1">
        <v>45518</v>
      </c>
      <c r="C596">
        <v>2024</v>
      </c>
      <c r="D596" t="s">
        <v>48</v>
      </c>
      <c r="E596" t="s">
        <v>19</v>
      </c>
      <c r="F596" t="s">
        <v>20</v>
      </c>
      <c r="G596" t="s">
        <v>21</v>
      </c>
      <c r="H596" t="s">
        <v>27</v>
      </c>
      <c r="I596" t="s">
        <v>17</v>
      </c>
      <c r="J596">
        <v>25058</v>
      </c>
      <c r="K596">
        <v>17299</v>
      </c>
      <c r="L596">
        <v>2</v>
      </c>
    </row>
    <row r="597" spans="1:12" x14ac:dyDescent="0.3">
      <c r="A597">
        <v>1596</v>
      </c>
      <c r="B597" s="1">
        <v>45286</v>
      </c>
      <c r="C597">
        <v>2023</v>
      </c>
      <c r="D597" t="s">
        <v>47</v>
      </c>
      <c r="E597" t="s">
        <v>24</v>
      </c>
      <c r="F597" t="s">
        <v>25</v>
      </c>
      <c r="G597" t="s">
        <v>26</v>
      </c>
      <c r="H597" t="s">
        <v>22</v>
      </c>
      <c r="I597" t="s">
        <v>23</v>
      </c>
      <c r="J597">
        <v>9879</v>
      </c>
      <c r="K597">
        <v>6139</v>
      </c>
      <c r="L597">
        <v>3</v>
      </c>
    </row>
    <row r="598" spans="1:12" x14ac:dyDescent="0.3">
      <c r="A598">
        <v>1597</v>
      </c>
      <c r="B598" s="1">
        <v>45411</v>
      </c>
      <c r="C598">
        <v>2024</v>
      </c>
      <c r="D598" t="s">
        <v>38</v>
      </c>
      <c r="E598" t="s">
        <v>13</v>
      </c>
      <c r="F598" t="s">
        <v>43</v>
      </c>
      <c r="G598" t="s">
        <v>44</v>
      </c>
      <c r="H598" t="s">
        <v>46</v>
      </c>
      <c r="I598" t="s">
        <v>17</v>
      </c>
      <c r="J598">
        <v>19169</v>
      </c>
      <c r="K598">
        <v>14599</v>
      </c>
      <c r="L598">
        <v>3</v>
      </c>
    </row>
    <row r="599" spans="1:12" x14ac:dyDescent="0.3">
      <c r="A599">
        <v>1598</v>
      </c>
      <c r="B599" s="1">
        <v>45561</v>
      </c>
      <c r="C599">
        <v>2024</v>
      </c>
      <c r="D599" t="s">
        <v>42</v>
      </c>
      <c r="E599" t="s">
        <v>19</v>
      </c>
      <c r="F599" t="s">
        <v>20</v>
      </c>
      <c r="G599" t="s">
        <v>21</v>
      </c>
      <c r="H599" t="s">
        <v>30</v>
      </c>
      <c r="I599" t="s">
        <v>23</v>
      </c>
      <c r="J599">
        <v>8005</v>
      </c>
      <c r="K599">
        <v>5278</v>
      </c>
      <c r="L599">
        <v>4</v>
      </c>
    </row>
    <row r="600" spans="1:12" x14ac:dyDescent="0.3">
      <c r="A600">
        <v>1599</v>
      </c>
      <c r="B600" s="1">
        <v>45098</v>
      </c>
      <c r="C600">
        <v>2023</v>
      </c>
      <c r="D600" t="s">
        <v>31</v>
      </c>
      <c r="E600" t="s">
        <v>24</v>
      </c>
      <c r="F600" t="s">
        <v>25</v>
      </c>
      <c r="G600" t="s">
        <v>26</v>
      </c>
      <c r="H600" t="s">
        <v>22</v>
      </c>
      <c r="I600" t="s">
        <v>23</v>
      </c>
      <c r="J600">
        <v>7846</v>
      </c>
      <c r="K600">
        <v>5674</v>
      </c>
      <c r="L600">
        <v>4</v>
      </c>
    </row>
    <row r="601" spans="1:12" x14ac:dyDescent="0.3">
      <c r="A601">
        <v>1600</v>
      </c>
      <c r="B601" s="1">
        <v>45371</v>
      </c>
      <c r="C601">
        <v>2024</v>
      </c>
      <c r="D601" t="s">
        <v>49</v>
      </c>
      <c r="E601" t="s">
        <v>19</v>
      </c>
      <c r="F601" t="s">
        <v>20</v>
      </c>
      <c r="G601" t="s">
        <v>21</v>
      </c>
      <c r="H601" t="s">
        <v>30</v>
      </c>
      <c r="I601" t="s">
        <v>23</v>
      </c>
      <c r="J601">
        <v>14783</v>
      </c>
      <c r="K601">
        <v>9443</v>
      </c>
      <c r="L601">
        <v>1</v>
      </c>
    </row>
    <row r="602" spans="1:12" x14ac:dyDescent="0.3">
      <c r="A602">
        <v>1601</v>
      </c>
      <c r="B602" s="1">
        <v>45563</v>
      </c>
      <c r="C602">
        <v>2024</v>
      </c>
      <c r="D602" t="s">
        <v>42</v>
      </c>
      <c r="E602" t="s">
        <v>13</v>
      </c>
      <c r="F602" t="s">
        <v>14</v>
      </c>
      <c r="G602" t="s">
        <v>15</v>
      </c>
      <c r="H602" t="s">
        <v>41</v>
      </c>
      <c r="I602" t="s">
        <v>23</v>
      </c>
      <c r="J602">
        <v>8813</v>
      </c>
      <c r="K602">
        <v>5727</v>
      </c>
      <c r="L602">
        <v>3</v>
      </c>
    </row>
    <row r="603" spans="1:12" x14ac:dyDescent="0.3">
      <c r="A603">
        <v>1602</v>
      </c>
      <c r="B603" s="1">
        <v>45082</v>
      </c>
      <c r="C603">
        <v>2023</v>
      </c>
      <c r="D603" t="s">
        <v>31</v>
      </c>
      <c r="E603" t="s">
        <v>19</v>
      </c>
      <c r="F603" t="s">
        <v>20</v>
      </c>
      <c r="G603" t="s">
        <v>21</v>
      </c>
      <c r="H603" t="s">
        <v>30</v>
      </c>
      <c r="I603" t="s">
        <v>23</v>
      </c>
      <c r="J603">
        <v>5582</v>
      </c>
      <c r="K603">
        <v>3550</v>
      </c>
      <c r="L603">
        <v>4</v>
      </c>
    </row>
    <row r="604" spans="1:12" x14ac:dyDescent="0.3">
      <c r="A604">
        <v>1603</v>
      </c>
      <c r="B604" s="1">
        <v>45274</v>
      </c>
      <c r="C604">
        <v>2023</v>
      </c>
      <c r="D604" t="s">
        <v>47</v>
      </c>
      <c r="E604" t="s">
        <v>24</v>
      </c>
      <c r="F604" t="s">
        <v>32</v>
      </c>
      <c r="G604" t="s">
        <v>33</v>
      </c>
      <c r="H604" t="s">
        <v>22</v>
      </c>
      <c r="I604" t="s">
        <v>23</v>
      </c>
      <c r="J604">
        <v>6464</v>
      </c>
      <c r="K604">
        <v>4306</v>
      </c>
      <c r="L604">
        <v>5</v>
      </c>
    </row>
    <row r="605" spans="1:12" x14ac:dyDescent="0.3">
      <c r="A605">
        <v>1604</v>
      </c>
      <c r="B605" s="1">
        <v>45390</v>
      </c>
      <c r="C605">
        <v>2024</v>
      </c>
      <c r="D605" t="s">
        <v>38</v>
      </c>
      <c r="E605" t="s">
        <v>13</v>
      </c>
      <c r="F605" t="s">
        <v>14</v>
      </c>
      <c r="G605" t="s">
        <v>15</v>
      </c>
      <c r="H605" t="s">
        <v>34</v>
      </c>
      <c r="I605" t="s">
        <v>23</v>
      </c>
      <c r="J605">
        <v>29981</v>
      </c>
      <c r="K605">
        <v>19056</v>
      </c>
      <c r="L605">
        <v>5</v>
      </c>
    </row>
    <row r="606" spans="1:12" x14ac:dyDescent="0.3">
      <c r="A606">
        <v>1605</v>
      </c>
      <c r="B606" s="1">
        <v>45604</v>
      </c>
      <c r="C606">
        <v>2024</v>
      </c>
      <c r="D606" t="s">
        <v>39</v>
      </c>
      <c r="E606" t="s">
        <v>19</v>
      </c>
      <c r="F606" t="s">
        <v>40</v>
      </c>
      <c r="G606" t="s">
        <v>40</v>
      </c>
      <c r="H606" t="s">
        <v>46</v>
      </c>
      <c r="I606" t="s">
        <v>17</v>
      </c>
      <c r="J606">
        <v>11774</v>
      </c>
      <c r="K606">
        <v>9210</v>
      </c>
      <c r="L606">
        <v>3</v>
      </c>
    </row>
    <row r="607" spans="1:12" x14ac:dyDescent="0.3">
      <c r="A607">
        <v>1606</v>
      </c>
      <c r="B607" s="1">
        <v>45070</v>
      </c>
      <c r="C607">
        <v>2023</v>
      </c>
      <c r="D607" t="s">
        <v>18</v>
      </c>
      <c r="E607" t="s">
        <v>24</v>
      </c>
      <c r="F607" t="s">
        <v>25</v>
      </c>
      <c r="G607" t="s">
        <v>26</v>
      </c>
      <c r="H607" t="s">
        <v>16</v>
      </c>
      <c r="I607" t="s">
        <v>17</v>
      </c>
      <c r="J607">
        <v>40160</v>
      </c>
      <c r="K607">
        <v>26301</v>
      </c>
      <c r="L607">
        <v>2</v>
      </c>
    </row>
    <row r="608" spans="1:12" x14ac:dyDescent="0.3">
      <c r="A608">
        <v>1607</v>
      </c>
      <c r="B608" s="1">
        <v>45172</v>
      </c>
      <c r="C608">
        <v>2023</v>
      </c>
      <c r="D608" t="s">
        <v>42</v>
      </c>
      <c r="E608" t="s">
        <v>19</v>
      </c>
      <c r="F608" t="s">
        <v>20</v>
      </c>
      <c r="G608" t="s">
        <v>21</v>
      </c>
      <c r="H608" t="s">
        <v>22</v>
      </c>
      <c r="I608" t="s">
        <v>23</v>
      </c>
      <c r="J608">
        <v>4302</v>
      </c>
      <c r="K608">
        <v>2870</v>
      </c>
      <c r="L608">
        <v>1</v>
      </c>
    </row>
    <row r="609" spans="1:12" x14ac:dyDescent="0.3">
      <c r="A609">
        <v>1608</v>
      </c>
      <c r="B609" s="1">
        <v>45372</v>
      </c>
      <c r="C609">
        <v>2024</v>
      </c>
      <c r="D609" t="s">
        <v>49</v>
      </c>
      <c r="E609" t="s">
        <v>19</v>
      </c>
      <c r="F609" t="s">
        <v>40</v>
      </c>
      <c r="G609" t="s">
        <v>40</v>
      </c>
      <c r="H609" t="s">
        <v>30</v>
      </c>
      <c r="I609" t="s">
        <v>23</v>
      </c>
      <c r="J609">
        <v>12191</v>
      </c>
      <c r="K609">
        <v>8558</v>
      </c>
      <c r="L609">
        <v>4</v>
      </c>
    </row>
    <row r="610" spans="1:12" x14ac:dyDescent="0.3">
      <c r="A610">
        <v>1609</v>
      </c>
      <c r="B610" s="1">
        <v>45246</v>
      </c>
      <c r="C610">
        <v>2023</v>
      </c>
      <c r="D610" t="s">
        <v>39</v>
      </c>
      <c r="E610" t="s">
        <v>13</v>
      </c>
      <c r="F610" t="s">
        <v>14</v>
      </c>
      <c r="G610" t="s">
        <v>15</v>
      </c>
      <c r="H610" t="s">
        <v>46</v>
      </c>
      <c r="I610" t="s">
        <v>17</v>
      </c>
      <c r="J610">
        <v>22759</v>
      </c>
      <c r="K610">
        <v>19049</v>
      </c>
      <c r="L610">
        <v>4</v>
      </c>
    </row>
    <row r="611" spans="1:12" x14ac:dyDescent="0.3">
      <c r="A611">
        <v>1610</v>
      </c>
      <c r="B611" s="1">
        <v>45622</v>
      </c>
      <c r="C611">
        <v>2024</v>
      </c>
      <c r="D611" t="s">
        <v>39</v>
      </c>
      <c r="E611" t="s">
        <v>13</v>
      </c>
      <c r="F611" t="s">
        <v>14</v>
      </c>
      <c r="G611" t="s">
        <v>15</v>
      </c>
      <c r="H611" t="s">
        <v>16</v>
      </c>
      <c r="I611" t="s">
        <v>17</v>
      </c>
      <c r="J611">
        <v>45371</v>
      </c>
      <c r="K611">
        <v>36280</v>
      </c>
      <c r="L611">
        <v>3</v>
      </c>
    </row>
    <row r="612" spans="1:12" x14ac:dyDescent="0.3">
      <c r="A612">
        <v>1611</v>
      </c>
      <c r="B612" s="1">
        <v>45362</v>
      </c>
      <c r="C612">
        <v>2024</v>
      </c>
      <c r="D612" t="s">
        <v>49</v>
      </c>
      <c r="E612" t="s">
        <v>24</v>
      </c>
      <c r="F612" t="s">
        <v>25</v>
      </c>
      <c r="G612" t="s">
        <v>29</v>
      </c>
      <c r="H612" t="s">
        <v>34</v>
      </c>
      <c r="I612" t="s">
        <v>23</v>
      </c>
      <c r="J612">
        <v>23140</v>
      </c>
      <c r="K612">
        <v>19430</v>
      </c>
      <c r="L612">
        <v>3</v>
      </c>
    </row>
    <row r="613" spans="1:12" x14ac:dyDescent="0.3">
      <c r="A613">
        <v>1612</v>
      </c>
      <c r="B613" s="1">
        <v>45227</v>
      </c>
      <c r="C613">
        <v>2023</v>
      </c>
      <c r="D613" t="s">
        <v>12</v>
      </c>
      <c r="E613" t="s">
        <v>13</v>
      </c>
      <c r="F613" t="s">
        <v>43</v>
      </c>
      <c r="G613" t="s">
        <v>44</v>
      </c>
      <c r="H613" t="s">
        <v>30</v>
      </c>
      <c r="I613" t="s">
        <v>23</v>
      </c>
      <c r="J613">
        <v>14007</v>
      </c>
      <c r="K613">
        <v>8659</v>
      </c>
      <c r="L613">
        <v>2</v>
      </c>
    </row>
    <row r="614" spans="1:12" x14ac:dyDescent="0.3">
      <c r="A614">
        <v>1613</v>
      </c>
      <c r="B614" s="1">
        <v>45307</v>
      </c>
      <c r="C614">
        <v>2024</v>
      </c>
      <c r="D614" t="s">
        <v>35</v>
      </c>
      <c r="E614" t="s">
        <v>13</v>
      </c>
      <c r="F614" t="s">
        <v>14</v>
      </c>
      <c r="G614" t="s">
        <v>15</v>
      </c>
      <c r="H614" t="s">
        <v>27</v>
      </c>
      <c r="I614" t="s">
        <v>17</v>
      </c>
      <c r="J614">
        <v>17917</v>
      </c>
      <c r="K614">
        <v>11307</v>
      </c>
      <c r="L614">
        <v>4</v>
      </c>
    </row>
    <row r="615" spans="1:12" x14ac:dyDescent="0.3">
      <c r="A615">
        <v>1614</v>
      </c>
      <c r="B615" s="1">
        <v>45029</v>
      </c>
      <c r="C615">
        <v>2023</v>
      </c>
      <c r="D615" t="s">
        <v>38</v>
      </c>
      <c r="E615" t="s">
        <v>19</v>
      </c>
      <c r="F615" t="s">
        <v>40</v>
      </c>
      <c r="G615" t="s">
        <v>40</v>
      </c>
      <c r="H615" t="s">
        <v>27</v>
      </c>
      <c r="I615" t="s">
        <v>17</v>
      </c>
      <c r="J615">
        <v>26438</v>
      </c>
      <c r="K615">
        <v>20849</v>
      </c>
      <c r="L615">
        <v>3</v>
      </c>
    </row>
    <row r="616" spans="1:12" x14ac:dyDescent="0.3">
      <c r="A616">
        <v>1615</v>
      </c>
      <c r="B616" s="1">
        <v>44960</v>
      </c>
      <c r="C616">
        <v>2023</v>
      </c>
      <c r="D616" t="s">
        <v>45</v>
      </c>
      <c r="E616" t="s">
        <v>24</v>
      </c>
      <c r="F616" t="s">
        <v>32</v>
      </c>
      <c r="G616" t="s">
        <v>33</v>
      </c>
      <c r="H616" t="s">
        <v>27</v>
      </c>
      <c r="I616" t="s">
        <v>17</v>
      </c>
      <c r="J616">
        <v>22495</v>
      </c>
      <c r="K616">
        <v>14223</v>
      </c>
      <c r="L616">
        <v>5</v>
      </c>
    </row>
    <row r="617" spans="1:12" x14ac:dyDescent="0.3">
      <c r="A617">
        <v>1616</v>
      </c>
      <c r="B617" s="1">
        <v>45365</v>
      </c>
      <c r="C617">
        <v>2024</v>
      </c>
      <c r="D617" t="s">
        <v>49</v>
      </c>
      <c r="E617" t="s">
        <v>19</v>
      </c>
      <c r="F617" t="s">
        <v>20</v>
      </c>
      <c r="G617" t="s">
        <v>21</v>
      </c>
      <c r="H617" t="s">
        <v>27</v>
      </c>
      <c r="I617" t="s">
        <v>17</v>
      </c>
      <c r="J617">
        <v>32440</v>
      </c>
      <c r="K617">
        <v>22293</v>
      </c>
      <c r="L617">
        <v>5</v>
      </c>
    </row>
    <row r="618" spans="1:12" x14ac:dyDescent="0.3">
      <c r="A618">
        <v>1617</v>
      </c>
      <c r="B618" s="1">
        <v>45060</v>
      </c>
      <c r="C618">
        <v>2023</v>
      </c>
      <c r="D618" t="s">
        <v>18</v>
      </c>
      <c r="E618" t="s">
        <v>24</v>
      </c>
      <c r="F618" t="s">
        <v>32</v>
      </c>
      <c r="G618" t="s">
        <v>33</v>
      </c>
      <c r="H618" t="s">
        <v>34</v>
      </c>
      <c r="I618" t="s">
        <v>23</v>
      </c>
      <c r="J618">
        <v>25286</v>
      </c>
      <c r="K618">
        <v>19212</v>
      </c>
      <c r="L618">
        <v>2</v>
      </c>
    </row>
    <row r="619" spans="1:12" x14ac:dyDescent="0.3">
      <c r="A619">
        <v>1618</v>
      </c>
      <c r="B619" s="1">
        <v>45600</v>
      </c>
      <c r="C619">
        <v>2024</v>
      </c>
      <c r="D619" t="s">
        <v>39</v>
      </c>
      <c r="E619" t="s">
        <v>24</v>
      </c>
      <c r="F619" t="s">
        <v>25</v>
      </c>
      <c r="G619" t="s">
        <v>29</v>
      </c>
      <c r="H619" t="s">
        <v>41</v>
      </c>
      <c r="I619" t="s">
        <v>23</v>
      </c>
      <c r="J619">
        <v>15369</v>
      </c>
      <c r="K619">
        <v>12532</v>
      </c>
      <c r="L619">
        <v>4</v>
      </c>
    </row>
    <row r="620" spans="1:12" x14ac:dyDescent="0.3">
      <c r="A620">
        <v>1619</v>
      </c>
      <c r="B620" s="1">
        <v>45373</v>
      </c>
      <c r="C620">
        <v>2024</v>
      </c>
      <c r="D620" t="s">
        <v>49</v>
      </c>
      <c r="E620" t="s">
        <v>19</v>
      </c>
      <c r="F620" t="s">
        <v>40</v>
      </c>
      <c r="G620" t="s">
        <v>40</v>
      </c>
      <c r="H620" t="s">
        <v>27</v>
      </c>
      <c r="I620" t="s">
        <v>17</v>
      </c>
      <c r="J620">
        <v>24174</v>
      </c>
      <c r="K620">
        <v>19958</v>
      </c>
      <c r="L620">
        <v>5</v>
      </c>
    </row>
    <row r="621" spans="1:12" x14ac:dyDescent="0.3">
      <c r="A621">
        <v>1620</v>
      </c>
      <c r="B621" s="1">
        <v>45268</v>
      </c>
      <c r="C621">
        <v>2023</v>
      </c>
      <c r="D621" t="s">
        <v>47</v>
      </c>
      <c r="E621" t="s">
        <v>13</v>
      </c>
      <c r="F621" t="s">
        <v>36</v>
      </c>
      <c r="G621" t="s">
        <v>37</v>
      </c>
      <c r="H621" t="s">
        <v>22</v>
      </c>
      <c r="I621" t="s">
        <v>23</v>
      </c>
      <c r="J621">
        <v>4357</v>
      </c>
      <c r="K621">
        <v>2860</v>
      </c>
      <c r="L621">
        <v>2</v>
      </c>
    </row>
    <row r="622" spans="1:12" x14ac:dyDescent="0.3">
      <c r="A622">
        <v>1621</v>
      </c>
      <c r="B622" s="1">
        <v>45496</v>
      </c>
      <c r="C622">
        <v>2024</v>
      </c>
      <c r="D622" t="s">
        <v>28</v>
      </c>
      <c r="E622" t="s">
        <v>13</v>
      </c>
      <c r="F622" t="s">
        <v>43</v>
      </c>
      <c r="G622" t="s">
        <v>44</v>
      </c>
      <c r="H622" t="s">
        <v>30</v>
      </c>
      <c r="I622" t="s">
        <v>23</v>
      </c>
      <c r="J622">
        <v>8315</v>
      </c>
      <c r="K622">
        <v>5280</v>
      </c>
      <c r="L622">
        <v>4</v>
      </c>
    </row>
    <row r="623" spans="1:12" x14ac:dyDescent="0.3">
      <c r="A623">
        <v>1622</v>
      </c>
      <c r="B623" s="1">
        <v>45578</v>
      </c>
      <c r="C623">
        <v>2024</v>
      </c>
      <c r="D623" t="s">
        <v>12</v>
      </c>
      <c r="E623" t="s">
        <v>24</v>
      </c>
      <c r="F623" t="s">
        <v>25</v>
      </c>
      <c r="G623" t="s">
        <v>29</v>
      </c>
      <c r="H623" t="s">
        <v>30</v>
      </c>
      <c r="I623" t="s">
        <v>23</v>
      </c>
      <c r="J623">
        <v>9921</v>
      </c>
      <c r="K623">
        <v>8258</v>
      </c>
      <c r="L623">
        <v>5</v>
      </c>
    </row>
    <row r="624" spans="1:12" x14ac:dyDescent="0.3">
      <c r="A624">
        <v>1623</v>
      </c>
      <c r="B624" s="1">
        <v>45201</v>
      </c>
      <c r="C624">
        <v>2023</v>
      </c>
      <c r="D624" t="s">
        <v>12</v>
      </c>
      <c r="E624" t="s">
        <v>24</v>
      </c>
      <c r="F624" t="s">
        <v>25</v>
      </c>
      <c r="G624" t="s">
        <v>26</v>
      </c>
      <c r="H624" t="s">
        <v>30</v>
      </c>
      <c r="I624" t="s">
        <v>23</v>
      </c>
      <c r="J624">
        <v>8687</v>
      </c>
      <c r="K624">
        <v>5460</v>
      </c>
      <c r="L624">
        <v>2</v>
      </c>
    </row>
    <row r="625" spans="1:12" x14ac:dyDescent="0.3">
      <c r="A625">
        <v>1624</v>
      </c>
      <c r="B625" s="1">
        <v>45185</v>
      </c>
      <c r="C625">
        <v>2023</v>
      </c>
      <c r="D625" t="s">
        <v>42</v>
      </c>
      <c r="E625" t="s">
        <v>24</v>
      </c>
      <c r="F625" t="s">
        <v>25</v>
      </c>
      <c r="G625" t="s">
        <v>29</v>
      </c>
      <c r="H625" t="s">
        <v>27</v>
      </c>
      <c r="I625" t="s">
        <v>17</v>
      </c>
      <c r="J625">
        <v>28721</v>
      </c>
      <c r="K625">
        <v>17402</v>
      </c>
      <c r="L625">
        <v>3</v>
      </c>
    </row>
    <row r="626" spans="1:12" x14ac:dyDescent="0.3">
      <c r="A626">
        <v>1625</v>
      </c>
      <c r="B626" s="1">
        <v>45428</v>
      </c>
      <c r="C626">
        <v>2024</v>
      </c>
      <c r="D626" t="s">
        <v>18</v>
      </c>
      <c r="E626" t="s">
        <v>24</v>
      </c>
      <c r="F626" t="s">
        <v>32</v>
      </c>
      <c r="G626" t="s">
        <v>33</v>
      </c>
      <c r="H626" t="s">
        <v>22</v>
      </c>
      <c r="I626" t="s">
        <v>23</v>
      </c>
      <c r="J626">
        <v>5406</v>
      </c>
      <c r="K626">
        <v>4380</v>
      </c>
      <c r="L626">
        <v>1</v>
      </c>
    </row>
    <row r="627" spans="1:12" x14ac:dyDescent="0.3">
      <c r="A627">
        <v>1626</v>
      </c>
      <c r="B627" s="1">
        <v>45130</v>
      </c>
      <c r="C627">
        <v>2023</v>
      </c>
      <c r="D627" t="s">
        <v>28</v>
      </c>
      <c r="E627" t="s">
        <v>13</v>
      </c>
      <c r="F627" t="s">
        <v>43</v>
      </c>
      <c r="G627" t="s">
        <v>44</v>
      </c>
      <c r="H627" t="s">
        <v>22</v>
      </c>
      <c r="I627" t="s">
        <v>23</v>
      </c>
      <c r="J627">
        <v>7712</v>
      </c>
      <c r="K627">
        <v>6272</v>
      </c>
      <c r="L627">
        <v>3</v>
      </c>
    </row>
    <row r="628" spans="1:12" x14ac:dyDescent="0.3">
      <c r="A628">
        <v>1627</v>
      </c>
      <c r="B628" s="1">
        <v>45302</v>
      </c>
      <c r="C628">
        <v>2024</v>
      </c>
      <c r="D628" t="s">
        <v>35</v>
      </c>
      <c r="E628" t="s">
        <v>19</v>
      </c>
      <c r="F628" t="s">
        <v>20</v>
      </c>
      <c r="G628" t="s">
        <v>21</v>
      </c>
      <c r="H628" t="s">
        <v>16</v>
      </c>
      <c r="I628" t="s">
        <v>17</v>
      </c>
      <c r="J628">
        <v>50562</v>
      </c>
      <c r="K628">
        <v>33962</v>
      </c>
      <c r="L628">
        <v>1</v>
      </c>
    </row>
    <row r="629" spans="1:12" x14ac:dyDescent="0.3">
      <c r="A629">
        <v>1628</v>
      </c>
      <c r="B629" s="1">
        <v>45543</v>
      </c>
      <c r="C629">
        <v>2024</v>
      </c>
      <c r="D629" t="s">
        <v>42</v>
      </c>
      <c r="E629" t="s">
        <v>19</v>
      </c>
      <c r="F629" t="s">
        <v>40</v>
      </c>
      <c r="G629" t="s">
        <v>40</v>
      </c>
      <c r="H629" t="s">
        <v>34</v>
      </c>
      <c r="I629" t="s">
        <v>23</v>
      </c>
      <c r="J629">
        <v>31754</v>
      </c>
      <c r="K629">
        <v>23437</v>
      </c>
      <c r="L629">
        <v>2</v>
      </c>
    </row>
    <row r="630" spans="1:12" x14ac:dyDescent="0.3">
      <c r="A630">
        <v>1629</v>
      </c>
      <c r="B630" s="1">
        <v>45449</v>
      </c>
      <c r="C630">
        <v>2024</v>
      </c>
      <c r="D630" t="s">
        <v>31</v>
      </c>
      <c r="E630" t="s">
        <v>19</v>
      </c>
      <c r="F630" t="s">
        <v>20</v>
      </c>
      <c r="G630" t="s">
        <v>21</v>
      </c>
      <c r="H630" t="s">
        <v>41</v>
      </c>
      <c r="I630" t="s">
        <v>23</v>
      </c>
      <c r="J630">
        <v>16172</v>
      </c>
      <c r="K630">
        <v>11860</v>
      </c>
      <c r="L630">
        <v>4</v>
      </c>
    </row>
    <row r="631" spans="1:12" x14ac:dyDescent="0.3">
      <c r="A631">
        <v>1630</v>
      </c>
      <c r="B631" s="1">
        <v>45247</v>
      </c>
      <c r="C631">
        <v>2023</v>
      </c>
      <c r="D631" t="s">
        <v>39</v>
      </c>
      <c r="E631" t="s">
        <v>19</v>
      </c>
      <c r="F631" t="s">
        <v>20</v>
      </c>
      <c r="G631" t="s">
        <v>21</v>
      </c>
      <c r="H631" t="s">
        <v>41</v>
      </c>
      <c r="I631" t="s">
        <v>23</v>
      </c>
      <c r="J631">
        <v>10545</v>
      </c>
      <c r="K631">
        <v>6926</v>
      </c>
      <c r="L631">
        <v>5</v>
      </c>
    </row>
    <row r="632" spans="1:12" x14ac:dyDescent="0.3">
      <c r="A632">
        <v>1631</v>
      </c>
      <c r="B632" s="1">
        <v>45258</v>
      </c>
      <c r="C632">
        <v>2023</v>
      </c>
      <c r="D632" t="s">
        <v>39</v>
      </c>
      <c r="E632" t="s">
        <v>13</v>
      </c>
      <c r="F632" t="s">
        <v>14</v>
      </c>
      <c r="G632" t="s">
        <v>15</v>
      </c>
      <c r="H632" t="s">
        <v>46</v>
      </c>
      <c r="I632" t="s">
        <v>17</v>
      </c>
      <c r="J632">
        <v>15921</v>
      </c>
      <c r="K632">
        <v>11807</v>
      </c>
      <c r="L632">
        <v>5</v>
      </c>
    </row>
    <row r="633" spans="1:12" x14ac:dyDescent="0.3">
      <c r="A633">
        <v>1632</v>
      </c>
      <c r="B633" s="1">
        <v>45478</v>
      </c>
      <c r="C633">
        <v>2024</v>
      </c>
      <c r="D633" t="s">
        <v>28</v>
      </c>
      <c r="E633" t="s">
        <v>24</v>
      </c>
      <c r="F633" t="s">
        <v>32</v>
      </c>
      <c r="G633" t="s">
        <v>33</v>
      </c>
      <c r="H633" t="s">
        <v>41</v>
      </c>
      <c r="I633" t="s">
        <v>23</v>
      </c>
      <c r="J633">
        <v>17729</v>
      </c>
      <c r="K633">
        <v>13293</v>
      </c>
      <c r="L633">
        <v>4</v>
      </c>
    </row>
    <row r="634" spans="1:12" x14ac:dyDescent="0.3">
      <c r="A634">
        <v>1633</v>
      </c>
      <c r="B634" s="1">
        <v>45281</v>
      </c>
      <c r="C634">
        <v>2023</v>
      </c>
      <c r="D634" t="s">
        <v>47</v>
      </c>
      <c r="E634" t="s">
        <v>19</v>
      </c>
      <c r="F634" t="s">
        <v>20</v>
      </c>
      <c r="G634" t="s">
        <v>21</v>
      </c>
      <c r="H634" t="s">
        <v>27</v>
      </c>
      <c r="I634" t="s">
        <v>17</v>
      </c>
      <c r="J634">
        <v>28851</v>
      </c>
      <c r="K634">
        <v>17862</v>
      </c>
      <c r="L634">
        <v>1</v>
      </c>
    </row>
    <row r="635" spans="1:12" x14ac:dyDescent="0.3">
      <c r="A635">
        <v>1634</v>
      </c>
      <c r="B635" s="1">
        <v>45276</v>
      </c>
      <c r="C635">
        <v>2023</v>
      </c>
      <c r="D635" t="s">
        <v>47</v>
      </c>
      <c r="E635" t="s">
        <v>13</v>
      </c>
      <c r="F635" t="s">
        <v>43</v>
      </c>
      <c r="G635" t="s">
        <v>44</v>
      </c>
      <c r="H635" t="s">
        <v>41</v>
      </c>
      <c r="I635" t="s">
        <v>23</v>
      </c>
      <c r="J635">
        <v>12547</v>
      </c>
      <c r="K635">
        <v>7656</v>
      </c>
      <c r="L635">
        <v>1</v>
      </c>
    </row>
    <row r="636" spans="1:12" x14ac:dyDescent="0.3">
      <c r="A636">
        <v>1635</v>
      </c>
      <c r="B636" s="1">
        <v>44975</v>
      </c>
      <c r="C636">
        <v>2023</v>
      </c>
      <c r="D636" t="s">
        <v>45</v>
      </c>
      <c r="E636" t="s">
        <v>24</v>
      </c>
      <c r="F636" t="s">
        <v>32</v>
      </c>
      <c r="G636" t="s">
        <v>33</v>
      </c>
      <c r="H636" t="s">
        <v>22</v>
      </c>
      <c r="I636" t="s">
        <v>23</v>
      </c>
      <c r="J636">
        <v>6701</v>
      </c>
      <c r="K636">
        <v>4611</v>
      </c>
      <c r="L636">
        <v>3</v>
      </c>
    </row>
    <row r="637" spans="1:12" x14ac:dyDescent="0.3">
      <c r="A637">
        <v>1636</v>
      </c>
      <c r="B637" s="1">
        <v>45226</v>
      </c>
      <c r="C637">
        <v>2023</v>
      </c>
      <c r="D637" t="s">
        <v>12</v>
      </c>
      <c r="E637" t="s">
        <v>13</v>
      </c>
      <c r="F637" t="s">
        <v>36</v>
      </c>
      <c r="G637" t="s">
        <v>37</v>
      </c>
      <c r="H637" t="s">
        <v>41</v>
      </c>
      <c r="I637" t="s">
        <v>23</v>
      </c>
      <c r="J637">
        <v>7471</v>
      </c>
      <c r="K637">
        <v>6084</v>
      </c>
      <c r="L637">
        <v>5</v>
      </c>
    </row>
    <row r="638" spans="1:12" x14ac:dyDescent="0.3">
      <c r="A638">
        <v>1637</v>
      </c>
      <c r="B638" s="1">
        <v>45404</v>
      </c>
      <c r="C638">
        <v>2024</v>
      </c>
      <c r="D638" t="s">
        <v>38</v>
      </c>
      <c r="E638" t="s">
        <v>19</v>
      </c>
      <c r="F638" t="s">
        <v>20</v>
      </c>
      <c r="G638" t="s">
        <v>21</v>
      </c>
      <c r="H638" t="s">
        <v>30</v>
      </c>
      <c r="I638" t="s">
        <v>23</v>
      </c>
      <c r="J638">
        <v>8531</v>
      </c>
      <c r="K638">
        <v>6827</v>
      </c>
      <c r="L638">
        <v>3</v>
      </c>
    </row>
    <row r="639" spans="1:12" x14ac:dyDescent="0.3">
      <c r="A639">
        <v>1638</v>
      </c>
      <c r="B639" s="1">
        <v>45232</v>
      </c>
      <c r="C639">
        <v>2023</v>
      </c>
      <c r="D639" t="s">
        <v>39</v>
      </c>
      <c r="E639" t="s">
        <v>19</v>
      </c>
      <c r="F639" t="s">
        <v>40</v>
      </c>
      <c r="G639" t="s">
        <v>40</v>
      </c>
      <c r="H639" t="s">
        <v>34</v>
      </c>
      <c r="I639" t="s">
        <v>23</v>
      </c>
      <c r="J639">
        <v>20771</v>
      </c>
      <c r="K639">
        <v>13425</v>
      </c>
      <c r="L639">
        <v>2</v>
      </c>
    </row>
    <row r="640" spans="1:12" x14ac:dyDescent="0.3">
      <c r="A640">
        <v>1639</v>
      </c>
      <c r="B640" s="1">
        <v>45213</v>
      </c>
      <c r="C640">
        <v>2023</v>
      </c>
      <c r="D640" t="s">
        <v>12</v>
      </c>
      <c r="E640" t="s">
        <v>24</v>
      </c>
      <c r="F640" t="s">
        <v>25</v>
      </c>
      <c r="G640" t="s">
        <v>29</v>
      </c>
      <c r="H640" t="s">
        <v>41</v>
      </c>
      <c r="I640" t="s">
        <v>23</v>
      </c>
      <c r="J640">
        <v>10248</v>
      </c>
      <c r="K640">
        <v>8157</v>
      </c>
      <c r="L640">
        <v>5</v>
      </c>
    </row>
    <row r="641" spans="1:12" x14ac:dyDescent="0.3">
      <c r="A641">
        <v>1640</v>
      </c>
      <c r="B641" s="1">
        <v>45479</v>
      </c>
      <c r="C641">
        <v>2024</v>
      </c>
      <c r="D641" t="s">
        <v>28</v>
      </c>
      <c r="E641" t="s">
        <v>24</v>
      </c>
      <c r="F641" t="s">
        <v>32</v>
      </c>
      <c r="G641" t="s">
        <v>33</v>
      </c>
      <c r="H641" t="s">
        <v>34</v>
      </c>
      <c r="I641" t="s">
        <v>23</v>
      </c>
      <c r="J641">
        <v>17653</v>
      </c>
      <c r="K641">
        <v>12155</v>
      </c>
      <c r="L641">
        <v>3</v>
      </c>
    </row>
    <row r="642" spans="1:12" x14ac:dyDescent="0.3">
      <c r="A642">
        <v>1641</v>
      </c>
      <c r="B642" s="1">
        <v>45150</v>
      </c>
      <c r="C642">
        <v>2023</v>
      </c>
      <c r="D642" t="s">
        <v>48</v>
      </c>
      <c r="E642" t="s">
        <v>13</v>
      </c>
      <c r="F642" t="s">
        <v>43</v>
      </c>
      <c r="G642" t="s">
        <v>44</v>
      </c>
      <c r="H642" t="s">
        <v>22</v>
      </c>
      <c r="I642" t="s">
        <v>23</v>
      </c>
      <c r="J642">
        <v>5443</v>
      </c>
      <c r="K642">
        <v>3906</v>
      </c>
      <c r="L642">
        <v>3</v>
      </c>
    </row>
    <row r="643" spans="1:12" x14ac:dyDescent="0.3">
      <c r="A643">
        <v>1642</v>
      </c>
      <c r="B643" s="1">
        <v>45070</v>
      </c>
      <c r="C643">
        <v>2023</v>
      </c>
      <c r="D643" t="s">
        <v>18</v>
      </c>
      <c r="E643" t="s">
        <v>24</v>
      </c>
      <c r="F643" t="s">
        <v>25</v>
      </c>
      <c r="G643" t="s">
        <v>29</v>
      </c>
      <c r="H643" t="s">
        <v>34</v>
      </c>
      <c r="I643" t="s">
        <v>23</v>
      </c>
      <c r="J643">
        <v>30424</v>
      </c>
      <c r="K643">
        <v>24665</v>
      </c>
      <c r="L643">
        <v>2</v>
      </c>
    </row>
    <row r="644" spans="1:12" x14ac:dyDescent="0.3">
      <c r="A644">
        <v>1643</v>
      </c>
      <c r="B644" s="1">
        <v>45035</v>
      </c>
      <c r="C644">
        <v>2023</v>
      </c>
      <c r="D644" t="s">
        <v>38</v>
      </c>
      <c r="E644" t="s">
        <v>24</v>
      </c>
      <c r="F644" t="s">
        <v>25</v>
      </c>
      <c r="G644" t="s">
        <v>26</v>
      </c>
      <c r="H644" t="s">
        <v>46</v>
      </c>
      <c r="I644" t="s">
        <v>17</v>
      </c>
      <c r="J644">
        <v>29286</v>
      </c>
      <c r="K644">
        <v>18453</v>
      </c>
      <c r="L644">
        <v>3</v>
      </c>
    </row>
    <row r="645" spans="1:12" x14ac:dyDescent="0.3">
      <c r="A645">
        <v>1644</v>
      </c>
      <c r="B645" s="1">
        <v>44945</v>
      </c>
      <c r="C645">
        <v>2023</v>
      </c>
      <c r="D645" t="s">
        <v>35</v>
      </c>
      <c r="E645" t="s">
        <v>13</v>
      </c>
      <c r="F645" t="s">
        <v>43</v>
      </c>
      <c r="G645" t="s">
        <v>44</v>
      </c>
      <c r="H645" t="s">
        <v>34</v>
      </c>
      <c r="I645" t="s">
        <v>23</v>
      </c>
      <c r="J645">
        <v>18991</v>
      </c>
      <c r="K645">
        <v>11594</v>
      </c>
      <c r="L645">
        <v>2</v>
      </c>
    </row>
    <row r="646" spans="1:12" x14ac:dyDescent="0.3">
      <c r="A646">
        <v>1645</v>
      </c>
      <c r="B646" s="1">
        <v>45254</v>
      </c>
      <c r="C646">
        <v>2023</v>
      </c>
      <c r="D646" t="s">
        <v>39</v>
      </c>
      <c r="E646" t="s">
        <v>19</v>
      </c>
      <c r="F646" t="s">
        <v>20</v>
      </c>
      <c r="G646" t="s">
        <v>21</v>
      </c>
      <c r="H646" t="s">
        <v>16</v>
      </c>
      <c r="I646" t="s">
        <v>17</v>
      </c>
      <c r="J646">
        <v>62037</v>
      </c>
      <c r="K646">
        <v>52075</v>
      </c>
      <c r="L646">
        <v>5</v>
      </c>
    </row>
    <row r="647" spans="1:12" x14ac:dyDescent="0.3">
      <c r="A647">
        <v>1646</v>
      </c>
      <c r="B647" s="1">
        <v>45432</v>
      </c>
      <c r="C647">
        <v>2024</v>
      </c>
      <c r="D647" t="s">
        <v>18</v>
      </c>
      <c r="E647" t="s">
        <v>24</v>
      </c>
      <c r="F647" t="s">
        <v>25</v>
      </c>
      <c r="G647" t="s">
        <v>26</v>
      </c>
      <c r="H647" t="s">
        <v>27</v>
      </c>
      <c r="I647" t="s">
        <v>17</v>
      </c>
      <c r="J647">
        <v>15745</v>
      </c>
      <c r="K647">
        <v>13382</v>
      </c>
      <c r="L647">
        <v>3</v>
      </c>
    </row>
    <row r="648" spans="1:12" x14ac:dyDescent="0.3">
      <c r="A648">
        <v>1647</v>
      </c>
      <c r="B648" s="1">
        <v>45529</v>
      </c>
      <c r="C648">
        <v>2024</v>
      </c>
      <c r="D648" t="s">
        <v>48</v>
      </c>
      <c r="E648" t="s">
        <v>19</v>
      </c>
      <c r="F648" t="s">
        <v>20</v>
      </c>
      <c r="G648" t="s">
        <v>21</v>
      </c>
      <c r="H648" t="s">
        <v>41</v>
      </c>
      <c r="I648" t="s">
        <v>23</v>
      </c>
      <c r="J648">
        <v>14893</v>
      </c>
      <c r="K648">
        <v>10947</v>
      </c>
      <c r="L648">
        <v>1</v>
      </c>
    </row>
    <row r="649" spans="1:12" x14ac:dyDescent="0.3">
      <c r="A649">
        <v>1648</v>
      </c>
      <c r="B649" s="1">
        <v>45585</v>
      </c>
      <c r="C649">
        <v>2024</v>
      </c>
      <c r="D649" t="s">
        <v>12</v>
      </c>
      <c r="E649" t="s">
        <v>24</v>
      </c>
      <c r="F649" t="s">
        <v>32</v>
      </c>
      <c r="G649" t="s">
        <v>33</v>
      </c>
      <c r="H649" t="s">
        <v>27</v>
      </c>
      <c r="I649" t="s">
        <v>17</v>
      </c>
      <c r="J649">
        <v>25329</v>
      </c>
      <c r="K649">
        <v>20651</v>
      </c>
      <c r="L649">
        <v>3</v>
      </c>
    </row>
    <row r="650" spans="1:12" x14ac:dyDescent="0.3">
      <c r="A650">
        <v>1649</v>
      </c>
      <c r="B650" s="1">
        <v>45526</v>
      </c>
      <c r="C650">
        <v>2024</v>
      </c>
      <c r="D650" t="s">
        <v>48</v>
      </c>
      <c r="E650" t="s">
        <v>19</v>
      </c>
      <c r="F650" t="s">
        <v>20</v>
      </c>
      <c r="G650" t="s">
        <v>21</v>
      </c>
      <c r="H650" t="s">
        <v>46</v>
      </c>
      <c r="I650" t="s">
        <v>17</v>
      </c>
      <c r="J650">
        <v>20706</v>
      </c>
      <c r="K650">
        <v>13275</v>
      </c>
      <c r="L650">
        <v>4</v>
      </c>
    </row>
    <row r="651" spans="1:12" x14ac:dyDescent="0.3">
      <c r="A651">
        <v>1650</v>
      </c>
      <c r="B651" s="1">
        <v>45516</v>
      </c>
      <c r="C651">
        <v>2024</v>
      </c>
      <c r="D651" t="s">
        <v>48</v>
      </c>
      <c r="E651" t="s">
        <v>24</v>
      </c>
      <c r="F651" t="s">
        <v>25</v>
      </c>
      <c r="G651" t="s">
        <v>26</v>
      </c>
      <c r="H651" t="s">
        <v>22</v>
      </c>
      <c r="I651" t="s">
        <v>23</v>
      </c>
      <c r="J651">
        <v>3435</v>
      </c>
      <c r="K651">
        <v>2281</v>
      </c>
      <c r="L651">
        <v>3</v>
      </c>
    </row>
    <row r="652" spans="1:12" x14ac:dyDescent="0.3">
      <c r="A652">
        <v>1651</v>
      </c>
      <c r="B652" s="1">
        <v>45028</v>
      </c>
      <c r="C652">
        <v>2023</v>
      </c>
      <c r="D652" t="s">
        <v>38</v>
      </c>
      <c r="E652" t="s">
        <v>13</v>
      </c>
      <c r="F652" t="s">
        <v>14</v>
      </c>
      <c r="G652" t="s">
        <v>15</v>
      </c>
      <c r="H652" t="s">
        <v>41</v>
      </c>
      <c r="I652" t="s">
        <v>23</v>
      </c>
      <c r="J652">
        <v>13029</v>
      </c>
      <c r="K652">
        <v>7929</v>
      </c>
      <c r="L652">
        <v>1</v>
      </c>
    </row>
    <row r="653" spans="1:12" x14ac:dyDescent="0.3">
      <c r="A653">
        <v>1652</v>
      </c>
      <c r="B653" s="1">
        <v>45110</v>
      </c>
      <c r="C653">
        <v>2023</v>
      </c>
      <c r="D653" t="s">
        <v>28</v>
      </c>
      <c r="E653" t="s">
        <v>19</v>
      </c>
      <c r="F653" t="s">
        <v>20</v>
      </c>
      <c r="G653" t="s">
        <v>21</v>
      </c>
      <c r="H653" t="s">
        <v>22</v>
      </c>
      <c r="I653" t="s">
        <v>23</v>
      </c>
      <c r="J653">
        <v>8381</v>
      </c>
      <c r="K653">
        <v>5923</v>
      </c>
      <c r="L653">
        <v>5</v>
      </c>
    </row>
    <row r="654" spans="1:12" x14ac:dyDescent="0.3">
      <c r="A654">
        <v>1653</v>
      </c>
      <c r="B654" s="1">
        <v>44992</v>
      </c>
      <c r="C654">
        <v>2023</v>
      </c>
      <c r="D654" t="s">
        <v>49</v>
      </c>
      <c r="E654" t="s">
        <v>19</v>
      </c>
      <c r="F654" t="s">
        <v>20</v>
      </c>
      <c r="G654" t="s">
        <v>21</v>
      </c>
      <c r="H654" t="s">
        <v>27</v>
      </c>
      <c r="I654" t="s">
        <v>17</v>
      </c>
      <c r="J654">
        <v>17825</v>
      </c>
      <c r="K654">
        <v>12278</v>
      </c>
      <c r="L654">
        <v>2</v>
      </c>
    </row>
    <row r="655" spans="1:12" x14ac:dyDescent="0.3">
      <c r="A655">
        <v>1654</v>
      </c>
      <c r="B655" s="1">
        <v>45640</v>
      </c>
      <c r="C655">
        <v>2024</v>
      </c>
      <c r="D655" t="s">
        <v>47</v>
      </c>
      <c r="E655" t="s">
        <v>13</v>
      </c>
      <c r="F655" t="s">
        <v>36</v>
      </c>
      <c r="G655" t="s">
        <v>37</v>
      </c>
      <c r="H655" t="s">
        <v>30</v>
      </c>
      <c r="I655" t="s">
        <v>23</v>
      </c>
      <c r="J655">
        <v>10959</v>
      </c>
      <c r="K655">
        <v>8329</v>
      </c>
      <c r="L655">
        <v>1</v>
      </c>
    </row>
    <row r="656" spans="1:12" x14ac:dyDescent="0.3">
      <c r="A656">
        <v>1655</v>
      </c>
      <c r="B656" s="1">
        <v>45163</v>
      </c>
      <c r="C656">
        <v>2023</v>
      </c>
      <c r="D656" t="s">
        <v>48</v>
      </c>
      <c r="E656" t="s">
        <v>24</v>
      </c>
      <c r="F656" t="s">
        <v>25</v>
      </c>
      <c r="G656" t="s">
        <v>29</v>
      </c>
      <c r="H656" t="s">
        <v>46</v>
      </c>
      <c r="I656" t="s">
        <v>17</v>
      </c>
      <c r="J656">
        <v>14491</v>
      </c>
      <c r="K656">
        <v>10399</v>
      </c>
      <c r="L656">
        <v>3</v>
      </c>
    </row>
    <row r="657" spans="1:12" x14ac:dyDescent="0.3">
      <c r="A657">
        <v>1656</v>
      </c>
      <c r="B657" s="1">
        <v>45521</v>
      </c>
      <c r="C657">
        <v>2024</v>
      </c>
      <c r="D657" t="s">
        <v>48</v>
      </c>
      <c r="E657" t="s">
        <v>19</v>
      </c>
      <c r="F657" t="s">
        <v>20</v>
      </c>
      <c r="G657" t="s">
        <v>21</v>
      </c>
      <c r="H657" t="s">
        <v>34</v>
      </c>
      <c r="I657" t="s">
        <v>23</v>
      </c>
      <c r="J657">
        <v>34933</v>
      </c>
      <c r="K657">
        <v>24486</v>
      </c>
      <c r="L657">
        <v>5</v>
      </c>
    </row>
    <row r="658" spans="1:12" x14ac:dyDescent="0.3">
      <c r="A658">
        <v>1657</v>
      </c>
      <c r="B658" s="1">
        <v>45002</v>
      </c>
      <c r="C658">
        <v>2023</v>
      </c>
      <c r="D658" t="s">
        <v>49</v>
      </c>
      <c r="E658" t="s">
        <v>24</v>
      </c>
      <c r="F658" t="s">
        <v>32</v>
      </c>
      <c r="G658" t="s">
        <v>33</v>
      </c>
      <c r="H658" t="s">
        <v>16</v>
      </c>
      <c r="I658" t="s">
        <v>17</v>
      </c>
      <c r="J658">
        <v>51636</v>
      </c>
      <c r="K658">
        <v>37269</v>
      </c>
      <c r="L658">
        <v>2</v>
      </c>
    </row>
    <row r="659" spans="1:12" x14ac:dyDescent="0.3">
      <c r="A659">
        <v>1658</v>
      </c>
      <c r="B659" s="1">
        <v>44933</v>
      </c>
      <c r="C659">
        <v>2023</v>
      </c>
      <c r="D659" t="s">
        <v>35</v>
      </c>
      <c r="E659" t="s">
        <v>13</v>
      </c>
      <c r="F659" t="s">
        <v>14</v>
      </c>
      <c r="G659" t="s">
        <v>15</v>
      </c>
      <c r="H659" t="s">
        <v>22</v>
      </c>
      <c r="I659" t="s">
        <v>23</v>
      </c>
      <c r="J659">
        <v>5569</v>
      </c>
      <c r="K659">
        <v>3428</v>
      </c>
      <c r="L659">
        <v>3</v>
      </c>
    </row>
    <row r="660" spans="1:12" x14ac:dyDescent="0.3">
      <c r="A660">
        <v>1659</v>
      </c>
      <c r="B660" s="1">
        <v>45348</v>
      </c>
      <c r="C660">
        <v>2024</v>
      </c>
      <c r="D660" t="s">
        <v>45</v>
      </c>
      <c r="E660" t="s">
        <v>24</v>
      </c>
      <c r="F660" t="s">
        <v>25</v>
      </c>
      <c r="G660" t="s">
        <v>26</v>
      </c>
      <c r="H660" t="s">
        <v>22</v>
      </c>
      <c r="I660" t="s">
        <v>23</v>
      </c>
      <c r="J660">
        <v>6233</v>
      </c>
      <c r="K660">
        <v>3895</v>
      </c>
      <c r="L660">
        <v>5</v>
      </c>
    </row>
    <row r="661" spans="1:12" x14ac:dyDescent="0.3">
      <c r="A661">
        <v>1660</v>
      </c>
      <c r="B661" s="1">
        <v>45063</v>
      </c>
      <c r="C661">
        <v>2023</v>
      </c>
      <c r="D661" t="s">
        <v>18</v>
      </c>
      <c r="E661" t="s">
        <v>19</v>
      </c>
      <c r="F661" t="s">
        <v>20</v>
      </c>
      <c r="G661" t="s">
        <v>21</v>
      </c>
      <c r="H661" t="s">
        <v>46</v>
      </c>
      <c r="I661" t="s">
        <v>17</v>
      </c>
      <c r="J661">
        <v>16335</v>
      </c>
      <c r="K661">
        <v>12866</v>
      </c>
      <c r="L661">
        <v>4</v>
      </c>
    </row>
    <row r="662" spans="1:12" x14ac:dyDescent="0.3">
      <c r="A662">
        <v>1661</v>
      </c>
      <c r="B662" s="1">
        <v>45357</v>
      </c>
      <c r="C662">
        <v>2024</v>
      </c>
      <c r="D662" t="s">
        <v>49</v>
      </c>
      <c r="E662" t="s">
        <v>19</v>
      </c>
      <c r="F662" t="s">
        <v>40</v>
      </c>
      <c r="G662" t="s">
        <v>40</v>
      </c>
      <c r="H662" t="s">
        <v>27</v>
      </c>
      <c r="I662" t="s">
        <v>17</v>
      </c>
      <c r="J662">
        <v>19476</v>
      </c>
      <c r="K662">
        <v>12615</v>
      </c>
      <c r="L662">
        <v>3</v>
      </c>
    </row>
    <row r="663" spans="1:12" x14ac:dyDescent="0.3">
      <c r="A663">
        <v>1662</v>
      </c>
      <c r="B663" s="1">
        <v>45442</v>
      </c>
      <c r="C663">
        <v>2024</v>
      </c>
      <c r="D663" t="s">
        <v>18</v>
      </c>
      <c r="E663" t="s">
        <v>19</v>
      </c>
      <c r="F663" t="s">
        <v>20</v>
      </c>
      <c r="G663" t="s">
        <v>21</v>
      </c>
      <c r="H663" t="s">
        <v>46</v>
      </c>
      <c r="I663" t="s">
        <v>17</v>
      </c>
      <c r="J663">
        <v>11984</v>
      </c>
      <c r="K663">
        <v>7966</v>
      </c>
      <c r="L663">
        <v>3</v>
      </c>
    </row>
    <row r="664" spans="1:12" x14ac:dyDescent="0.3">
      <c r="A664">
        <v>1663</v>
      </c>
      <c r="B664" s="1">
        <v>45620</v>
      </c>
      <c r="C664">
        <v>2024</v>
      </c>
      <c r="D664" t="s">
        <v>39</v>
      </c>
      <c r="E664" t="s">
        <v>24</v>
      </c>
      <c r="F664" t="s">
        <v>32</v>
      </c>
      <c r="G664" t="s">
        <v>33</v>
      </c>
      <c r="H664" t="s">
        <v>30</v>
      </c>
      <c r="I664" t="s">
        <v>23</v>
      </c>
      <c r="J664">
        <v>14606</v>
      </c>
      <c r="K664">
        <v>10837</v>
      </c>
      <c r="L664">
        <v>1</v>
      </c>
    </row>
    <row r="665" spans="1:12" x14ac:dyDescent="0.3">
      <c r="A665">
        <v>1664</v>
      </c>
      <c r="B665" s="1">
        <v>45090</v>
      </c>
      <c r="C665">
        <v>2023</v>
      </c>
      <c r="D665" t="s">
        <v>31</v>
      </c>
      <c r="E665" t="s">
        <v>24</v>
      </c>
      <c r="F665" t="s">
        <v>32</v>
      </c>
      <c r="G665" t="s">
        <v>33</v>
      </c>
      <c r="H665" t="s">
        <v>34</v>
      </c>
      <c r="I665" t="s">
        <v>23</v>
      </c>
      <c r="J665">
        <v>30796</v>
      </c>
      <c r="K665">
        <v>22299</v>
      </c>
      <c r="L665">
        <v>5</v>
      </c>
    </row>
    <row r="666" spans="1:12" x14ac:dyDescent="0.3">
      <c r="A666">
        <v>1665</v>
      </c>
      <c r="B666" s="1">
        <v>45560</v>
      </c>
      <c r="C666">
        <v>2024</v>
      </c>
      <c r="D666" t="s">
        <v>42</v>
      </c>
      <c r="E666" t="s">
        <v>19</v>
      </c>
      <c r="F666" t="s">
        <v>20</v>
      </c>
      <c r="G666" t="s">
        <v>21</v>
      </c>
      <c r="H666" t="s">
        <v>46</v>
      </c>
      <c r="I666" t="s">
        <v>17</v>
      </c>
      <c r="J666">
        <v>21178</v>
      </c>
      <c r="K666">
        <v>14432</v>
      </c>
      <c r="L666">
        <v>1</v>
      </c>
    </row>
    <row r="667" spans="1:12" x14ac:dyDescent="0.3">
      <c r="A667">
        <v>1666</v>
      </c>
      <c r="B667" s="1">
        <v>45531</v>
      </c>
      <c r="C667">
        <v>2024</v>
      </c>
      <c r="D667" t="s">
        <v>48</v>
      </c>
      <c r="E667" t="s">
        <v>13</v>
      </c>
      <c r="F667" t="s">
        <v>36</v>
      </c>
      <c r="G667" t="s">
        <v>37</v>
      </c>
      <c r="H667" t="s">
        <v>34</v>
      </c>
      <c r="I667" t="s">
        <v>23</v>
      </c>
      <c r="J667">
        <v>31175</v>
      </c>
      <c r="K667">
        <v>19673</v>
      </c>
      <c r="L667">
        <v>5</v>
      </c>
    </row>
    <row r="668" spans="1:12" x14ac:dyDescent="0.3">
      <c r="A668">
        <v>1667</v>
      </c>
      <c r="B668" s="1">
        <v>45042</v>
      </c>
      <c r="C668">
        <v>2023</v>
      </c>
      <c r="D668" t="s">
        <v>38</v>
      </c>
      <c r="E668" t="s">
        <v>19</v>
      </c>
      <c r="F668" t="s">
        <v>40</v>
      </c>
      <c r="G668" t="s">
        <v>40</v>
      </c>
      <c r="H668" t="s">
        <v>30</v>
      </c>
      <c r="I668" t="s">
        <v>23</v>
      </c>
      <c r="J668">
        <v>13064</v>
      </c>
      <c r="K668">
        <v>10476</v>
      </c>
      <c r="L668">
        <v>4</v>
      </c>
    </row>
    <row r="669" spans="1:12" x14ac:dyDescent="0.3">
      <c r="A669">
        <v>1668</v>
      </c>
      <c r="B669" s="1">
        <v>45354</v>
      </c>
      <c r="C669">
        <v>2024</v>
      </c>
      <c r="D669" t="s">
        <v>49</v>
      </c>
      <c r="E669" t="s">
        <v>19</v>
      </c>
      <c r="F669" t="s">
        <v>20</v>
      </c>
      <c r="G669" t="s">
        <v>21</v>
      </c>
      <c r="H669" t="s">
        <v>46</v>
      </c>
      <c r="I669" t="s">
        <v>17</v>
      </c>
      <c r="J669">
        <v>14308</v>
      </c>
      <c r="K669">
        <v>9646</v>
      </c>
      <c r="L669">
        <v>3</v>
      </c>
    </row>
    <row r="670" spans="1:12" x14ac:dyDescent="0.3">
      <c r="A670">
        <v>1669</v>
      </c>
      <c r="B670" s="1">
        <v>45090</v>
      </c>
      <c r="C670">
        <v>2023</v>
      </c>
      <c r="D670" t="s">
        <v>31</v>
      </c>
      <c r="E670" t="s">
        <v>13</v>
      </c>
      <c r="F670" t="s">
        <v>14</v>
      </c>
      <c r="G670" t="s">
        <v>15</v>
      </c>
      <c r="H670" t="s">
        <v>41</v>
      </c>
      <c r="I670" t="s">
        <v>23</v>
      </c>
      <c r="J670">
        <v>18809</v>
      </c>
      <c r="K670">
        <v>13510</v>
      </c>
      <c r="L670">
        <v>1</v>
      </c>
    </row>
    <row r="671" spans="1:12" x14ac:dyDescent="0.3">
      <c r="A671">
        <v>1670</v>
      </c>
      <c r="B671" s="1">
        <v>45451</v>
      </c>
      <c r="C671">
        <v>2024</v>
      </c>
      <c r="D671" t="s">
        <v>31</v>
      </c>
      <c r="E671" t="s">
        <v>13</v>
      </c>
      <c r="F671" t="s">
        <v>36</v>
      </c>
      <c r="G671" t="s">
        <v>37</v>
      </c>
      <c r="H671" t="s">
        <v>34</v>
      </c>
      <c r="I671" t="s">
        <v>23</v>
      </c>
      <c r="J671">
        <v>39958</v>
      </c>
      <c r="K671">
        <v>30361</v>
      </c>
      <c r="L671">
        <v>4</v>
      </c>
    </row>
    <row r="672" spans="1:12" x14ac:dyDescent="0.3">
      <c r="A672">
        <v>1671</v>
      </c>
      <c r="B672" s="1">
        <v>45605</v>
      </c>
      <c r="C672">
        <v>2024</v>
      </c>
      <c r="D672" t="s">
        <v>39</v>
      </c>
      <c r="E672" t="s">
        <v>19</v>
      </c>
      <c r="F672" t="s">
        <v>20</v>
      </c>
      <c r="G672" t="s">
        <v>21</v>
      </c>
      <c r="H672" t="s">
        <v>16</v>
      </c>
      <c r="I672" t="s">
        <v>17</v>
      </c>
      <c r="J672">
        <v>42838</v>
      </c>
      <c r="K672">
        <v>32052</v>
      </c>
      <c r="L672">
        <v>5</v>
      </c>
    </row>
    <row r="673" spans="1:12" x14ac:dyDescent="0.3">
      <c r="A673">
        <v>1672</v>
      </c>
      <c r="B673" s="1">
        <v>45371</v>
      </c>
      <c r="C673">
        <v>2024</v>
      </c>
      <c r="D673" t="s">
        <v>49</v>
      </c>
      <c r="E673" t="s">
        <v>19</v>
      </c>
      <c r="F673" t="s">
        <v>40</v>
      </c>
      <c r="G673" t="s">
        <v>40</v>
      </c>
      <c r="H673" t="s">
        <v>22</v>
      </c>
      <c r="I673" t="s">
        <v>23</v>
      </c>
      <c r="J673">
        <v>3524</v>
      </c>
      <c r="K673">
        <v>2984</v>
      </c>
      <c r="L673">
        <v>3</v>
      </c>
    </row>
    <row r="674" spans="1:12" x14ac:dyDescent="0.3">
      <c r="A674">
        <v>1673</v>
      </c>
      <c r="B674" s="1">
        <v>45307</v>
      </c>
      <c r="C674">
        <v>2024</v>
      </c>
      <c r="D674" t="s">
        <v>35</v>
      </c>
      <c r="E674" t="s">
        <v>13</v>
      </c>
      <c r="F674" t="s">
        <v>14</v>
      </c>
      <c r="G674" t="s">
        <v>15</v>
      </c>
      <c r="H674" t="s">
        <v>41</v>
      </c>
      <c r="I674" t="s">
        <v>23</v>
      </c>
      <c r="J674">
        <v>11742</v>
      </c>
      <c r="K674">
        <v>8808</v>
      </c>
      <c r="L674">
        <v>3</v>
      </c>
    </row>
    <row r="675" spans="1:12" x14ac:dyDescent="0.3">
      <c r="A675">
        <v>1674</v>
      </c>
      <c r="B675" s="1">
        <v>45224</v>
      </c>
      <c r="C675">
        <v>2023</v>
      </c>
      <c r="D675" t="s">
        <v>12</v>
      </c>
      <c r="E675" t="s">
        <v>24</v>
      </c>
      <c r="F675" t="s">
        <v>25</v>
      </c>
      <c r="G675" t="s">
        <v>26</v>
      </c>
      <c r="H675" t="s">
        <v>30</v>
      </c>
      <c r="I675" t="s">
        <v>23</v>
      </c>
      <c r="J675">
        <v>11336</v>
      </c>
      <c r="K675">
        <v>6827</v>
      </c>
      <c r="L675">
        <v>3</v>
      </c>
    </row>
    <row r="676" spans="1:12" x14ac:dyDescent="0.3">
      <c r="A676">
        <v>1675</v>
      </c>
      <c r="B676" s="1">
        <v>45608</v>
      </c>
      <c r="C676">
        <v>2024</v>
      </c>
      <c r="D676" t="s">
        <v>39</v>
      </c>
      <c r="E676" t="s">
        <v>13</v>
      </c>
      <c r="F676" t="s">
        <v>14</v>
      </c>
      <c r="G676" t="s">
        <v>15</v>
      </c>
      <c r="H676" t="s">
        <v>27</v>
      </c>
      <c r="I676" t="s">
        <v>17</v>
      </c>
      <c r="J676">
        <v>19202</v>
      </c>
      <c r="K676">
        <v>15590</v>
      </c>
      <c r="L676">
        <v>4</v>
      </c>
    </row>
    <row r="677" spans="1:12" x14ac:dyDescent="0.3">
      <c r="A677">
        <v>1676</v>
      </c>
      <c r="B677" s="1">
        <v>44960</v>
      </c>
      <c r="C677">
        <v>2023</v>
      </c>
      <c r="D677" t="s">
        <v>45</v>
      </c>
      <c r="E677" t="s">
        <v>24</v>
      </c>
      <c r="F677" t="s">
        <v>25</v>
      </c>
      <c r="G677" t="s">
        <v>26</v>
      </c>
      <c r="H677" t="s">
        <v>27</v>
      </c>
      <c r="I677" t="s">
        <v>17</v>
      </c>
      <c r="J677">
        <v>16230</v>
      </c>
      <c r="K677">
        <v>11255</v>
      </c>
      <c r="L677">
        <v>3</v>
      </c>
    </row>
    <row r="678" spans="1:12" x14ac:dyDescent="0.3">
      <c r="A678">
        <v>1677</v>
      </c>
      <c r="B678" s="1">
        <v>44986</v>
      </c>
      <c r="C678">
        <v>2023</v>
      </c>
      <c r="D678" t="s">
        <v>49</v>
      </c>
      <c r="E678" t="s">
        <v>13</v>
      </c>
      <c r="F678" t="s">
        <v>14</v>
      </c>
      <c r="G678" t="s">
        <v>15</v>
      </c>
      <c r="H678" t="s">
        <v>46</v>
      </c>
      <c r="I678" t="s">
        <v>17</v>
      </c>
      <c r="J678">
        <v>19708</v>
      </c>
      <c r="K678">
        <v>16168</v>
      </c>
      <c r="L678">
        <v>1</v>
      </c>
    </row>
    <row r="679" spans="1:12" x14ac:dyDescent="0.3">
      <c r="A679">
        <v>1678</v>
      </c>
      <c r="B679" s="1">
        <v>45104</v>
      </c>
      <c r="C679">
        <v>2023</v>
      </c>
      <c r="D679" t="s">
        <v>31</v>
      </c>
      <c r="E679" t="s">
        <v>24</v>
      </c>
      <c r="F679" t="s">
        <v>25</v>
      </c>
      <c r="G679" t="s">
        <v>26</v>
      </c>
      <c r="H679" t="s">
        <v>27</v>
      </c>
      <c r="I679" t="s">
        <v>17</v>
      </c>
      <c r="J679">
        <v>15526</v>
      </c>
      <c r="K679">
        <v>10618</v>
      </c>
      <c r="L679">
        <v>4</v>
      </c>
    </row>
    <row r="680" spans="1:12" x14ac:dyDescent="0.3">
      <c r="A680">
        <v>1679</v>
      </c>
      <c r="B680" s="1">
        <v>45495</v>
      </c>
      <c r="C680">
        <v>2024</v>
      </c>
      <c r="D680" t="s">
        <v>28</v>
      </c>
      <c r="E680" t="s">
        <v>13</v>
      </c>
      <c r="F680" t="s">
        <v>36</v>
      </c>
      <c r="G680" t="s">
        <v>37</v>
      </c>
      <c r="H680" t="s">
        <v>46</v>
      </c>
      <c r="I680" t="s">
        <v>17</v>
      </c>
      <c r="J680">
        <v>20674</v>
      </c>
      <c r="K680">
        <v>16294</v>
      </c>
      <c r="L680">
        <v>2</v>
      </c>
    </row>
    <row r="681" spans="1:12" x14ac:dyDescent="0.3">
      <c r="A681">
        <v>1680</v>
      </c>
      <c r="B681" s="1">
        <v>44931</v>
      </c>
      <c r="C681">
        <v>2023</v>
      </c>
      <c r="D681" t="s">
        <v>35</v>
      </c>
      <c r="E681" t="s">
        <v>19</v>
      </c>
      <c r="F681" t="s">
        <v>20</v>
      </c>
      <c r="G681" t="s">
        <v>21</v>
      </c>
      <c r="H681" t="s">
        <v>16</v>
      </c>
      <c r="I681" t="s">
        <v>17</v>
      </c>
      <c r="J681">
        <v>42220</v>
      </c>
      <c r="K681">
        <v>32732</v>
      </c>
      <c r="L681">
        <v>3</v>
      </c>
    </row>
    <row r="682" spans="1:12" x14ac:dyDescent="0.3">
      <c r="A682">
        <v>1681</v>
      </c>
      <c r="B682" s="1">
        <v>44949</v>
      </c>
      <c r="C682">
        <v>2023</v>
      </c>
      <c r="D682" t="s">
        <v>35</v>
      </c>
      <c r="E682" t="s">
        <v>13</v>
      </c>
      <c r="F682" t="s">
        <v>36</v>
      </c>
      <c r="G682" t="s">
        <v>37</v>
      </c>
      <c r="H682" t="s">
        <v>41</v>
      </c>
      <c r="I682" t="s">
        <v>23</v>
      </c>
      <c r="J682">
        <v>7965</v>
      </c>
      <c r="K682">
        <v>4886</v>
      </c>
      <c r="L682">
        <v>5</v>
      </c>
    </row>
    <row r="683" spans="1:12" x14ac:dyDescent="0.3">
      <c r="A683">
        <v>1682</v>
      </c>
      <c r="B683" s="1">
        <v>45446</v>
      </c>
      <c r="C683">
        <v>2024</v>
      </c>
      <c r="D683" t="s">
        <v>31</v>
      </c>
      <c r="E683" t="s">
        <v>24</v>
      </c>
      <c r="F683" t="s">
        <v>25</v>
      </c>
      <c r="G683" t="s">
        <v>26</v>
      </c>
      <c r="H683" t="s">
        <v>16</v>
      </c>
      <c r="I683" t="s">
        <v>17</v>
      </c>
      <c r="J683">
        <v>42904</v>
      </c>
      <c r="K683">
        <v>28970</v>
      </c>
      <c r="L683">
        <v>4</v>
      </c>
    </row>
    <row r="684" spans="1:12" x14ac:dyDescent="0.3">
      <c r="A684">
        <v>1683</v>
      </c>
      <c r="B684" s="1">
        <v>45135</v>
      </c>
      <c r="C684">
        <v>2023</v>
      </c>
      <c r="D684" t="s">
        <v>28</v>
      </c>
      <c r="E684" t="s">
        <v>24</v>
      </c>
      <c r="F684" t="s">
        <v>32</v>
      </c>
      <c r="G684" t="s">
        <v>33</v>
      </c>
      <c r="H684" t="s">
        <v>16</v>
      </c>
      <c r="I684" t="s">
        <v>17</v>
      </c>
      <c r="J684">
        <v>66157</v>
      </c>
      <c r="K684">
        <v>49188</v>
      </c>
      <c r="L684">
        <v>4</v>
      </c>
    </row>
    <row r="685" spans="1:12" x14ac:dyDescent="0.3">
      <c r="A685">
        <v>1684</v>
      </c>
      <c r="B685" s="1">
        <v>45627</v>
      </c>
      <c r="C685">
        <v>2024</v>
      </c>
      <c r="D685" t="s">
        <v>47</v>
      </c>
      <c r="E685" t="s">
        <v>24</v>
      </c>
      <c r="F685" t="s">
        <v>25</v>
      </c>
      <c r="G685" t="s">
        <v>29</v>
      </c>
      <c r="H685" t="s">
        <v>41</v>
      </c>
      <c r="I685" t="s">
        <v>23</v>
      </c>
      <c r="J685">
        <v>19236</v>
      </c>
      <c r="K685">
        <v>13906</v>
      </c>
      <c r="L685">
        <v>4</v>
      </c>
    </row>
    <row r="686" spans="1:12" x14ac:dyDescent="0.3">
      <c r="A686">
        <v>1685</v>
      </c>
      <c r="B686" s="1">
        <v>45017</v>
      </c>
      <c r="C686">
        <v>2023</v>
      </c>
      <c r="D686" t="s">
        <v>38</v>
      </c>
      <c r="E686" t="s">
        <v>13</v>
      </c>
      <c r="F686" t="s">
        <v>36</v>
      </c>
      <c r="G686" t="s">
        <v>37</v>
      </c>
      <c r="H686" t="s">
        <v>16</v>
      </c>
      <c r="I686" t="s">
        <v>17</v>
      </c>
      <c r="J686">
        <v>59519</v>
      </c>
      <c r="K686">
        <v>38211</v>
      </c>
      <c r="L686">
        <v>2</v>
      </c>
    </row>
    <row r="687" spans="1:12" x14ac:dyDescent="0.3">
      <c r="A687">
        <v>1686</v>
      </c>
      <c r="B687" s="1">
        <v>45285</v>
      </c>
      <c r="C687">
        <v>2023</v>
      </c>
      <c r="D687" t="s">
        <v>47</v>
      </c>
      <c r="E687" t="s">
        <v>13</v>
      </c>
      <c r="F687" t="s">
        <v>14</v>
      </c>
      <c r="G687" t="s">
        <v>15</v>
      </c>
      <c r="H687" t="s">
        <v>22</v>
      </c>
      <c r="I687" t="s">
        <v>23</v>
      </c>
      <c r="J687">
        <v>4886</v>
      </c>
      <c r="K687">
        <v>3060</v>
      </c>
      <c r="L687">
        <v>5</v>
      </c>
    </row>
    <row r="688" spans="1:12" x14ac:dyDescent="0.3">
      <c r="A688">
        <v>1687</v>
      </c>
      <c r="B688" s="1">
        <v>45289</v>
      </c>
      <c r="C688">
        <v>2023</v>
      </c>
      <c r="D688" t="s">
        <v>47</v>
      </c>
      <c r="E688" t="s">
        <v>19</v>
      </c>
      <c r="F688" t="s">
        <v>20</v>
      </c>
      <c r="G688" t="s">
        <v>21</v>
      </c>
      <c r="H688" t="s">
        <v>22</v>
      </c>
      <c r="I688" t="s">
        <v>23</v>
      </c>
      <c r="J688">
        <v>3866</v>
      </c>
      <c r="K688">
        <v>3204</v>
      </c>
      <c r="L688">
        <v>4</v>
      </c>
    </row>
    <row r="689" spans="1:12" x14ac:dyDescent="0.3">
      <c r="A689">
        <v>1688</v>
      </c>
      <c r="B689" s="1">
        <v>44933</v>
      </c>
      <c r="C689">
        <v>2023</v>
      </c>
      <c r="D689" t="s">
        <v>35</v>
      </c>
      <c r="E689" t="s">
        <v>13</v>
      </c>
      <c r="F689" t="s">
        <v>14</v>
      </c>
      <c r="G689" t="s">
        <v>15</v>
      </c>
      <c r="H689" t="s">
        <v>34</v>
      </c>
      <c r="I689" t="s">
        <v>23</v>
      </c>
      <c r="J689">
        <v>15663</v>
      </c>
      <c r="K689">
        <v>11440</v>
      </c>
      <c r="L689">
        <v>3</v>
      </c>
    </row>
    <row r="690" spans="1:12" x14ac:dyDescent="0.3">
      <c r="A690">
        <v>1689</v>
      </c>
      <c r="B690" s="1">
        <v>45476</v>
      </c>
      <c r="C690">
        <v>2024</v>
      </c>
      <c r="D690" t="s">
        <v>28</v>
      </c>
      <c r="E690" t="s">
        <v>13</v>
      </c>
      <c r="F690" t="s">
        <v>36</v>
      </c>
      <c r="G690" t="s">
        <v>37</v>
      </c>
      <c r="H690" t="s">
        <v>16</v>
      </c>
      <c r="I690" t="s">
        <v>17</v>
      </c>
      <c r="J690">
        <v>54408</v>
      </c>
      <c r="K690">
        <v>46195</v>
      </c>
      <c r="L690">
        <v>4</v>
      </c>
    </row>
    <row r="691" spans="1:12" x14ac:dyDescent="0.3">
      <c r="A691">
        <v>1690</v>
      </c>
      <c r="B691" s="1">
        <v>45404</v>
      </c>
      <c r="C691">
        <v>2024</v>
      </c>
      <c r="D691" t="s">
        <v>38</v>
      </c>
      <c r="E691" t="s">
        <v>24</v>
      </c>
      <c r="F691" t="s">
        <v>25</v>
      </c>
      <c r="G691" t="s">
        <v>29</v>
      </c>
      <c r="H691" t="s">
        <v>22</v>
      </c>
      <c r="I691" t="s">
        <v>23</v>
      </c>
      <c r="J691">
        <v>4794</v>
      </c>
      <c r="K691">
        <v>3673</v>
      </c>
      <c r="L691">
        <v>2</v>
      </c>
    </row>
    <row r="692" spans="1:12" x14ac:dyDescent="0.3">
      <c r="A692">
        <v>1691</v>
      </c>
      <c r="B692" s="1">
        <v>45568</v>
      </c>
      <c r="C692">
        <v>2024</v>
      </c>
      <c r="D692" t="s">
        <v>12</v>
      </c>
      <c r="E692" t="s">
        <v>24</v>
      </c>
      <c r="F692" t="s">
        <v>32</v>
      </c>
      <c r="G692" t="s">
        <v>33</v>
      </c>
      <c r="H692" t="s">
        <v>22</v>
      </c>
      <c r="I692" t="s">
        <v>23</v>
      </c>
      <c r="J692">
        <v>8967</v>
      </c>
      <c r="K692">
        <v>7269</v>
      </c>
      <c r="L692">
        <v>3</v>
      </c>
    </row>
    <row r="693" spans="1:12" x14ac:dyDescent="0.3">
      <c r="A693">
        <v>1692</v>
      </c>
      <c r="B693" s="1">
        <v>45162</v>
      </c>
      <c r="C693">
        <v>2023</v>
      </c>
      <c r="D693" t="s">
        <v>48</v>
      </c>
      <c r="E693" t="s">
        <v>24</v>
      </c>
      <c r="F693" t="s">
        <v>32</v>
      </c>
      <c r="G693" t="s">
        <v>33</v>
      </c>
      <c r="H693" t="s">
        <v>16</v>
      </c>
      <c r="I693" t="s">
        <v>17</v>
      </c>
      <c r="J693">
        <v>58098</v>
      </c>
      <c r="K693">
        <v>48883</v>
      </c>
      <c r="L693">
        <v>2</v>
      </c>
    </row>
    <row r="694" spans="1:12" x14ac:dyDescent="0.3">
      <c r="A694">
        <v>1693</v>
      </c>
      <c r="B694" s="1">
        <v>45131</v>
      </c>
      <c r="C694">
        <v>2023</v>
      </c>
      <c r="D694" t="s">
        <v>28</v>
      </c>
      <c r="E694" t="s">
        <v>24</v>
      </c>
      <c r="F694" t="s">
        <v>25</v>
      </c>
      <c r="G694" t="s">
        <v>29</v>
      </c>
      <c r="H694" t="s">
        <v>41</v>
      </c>
      <c r="I694" t="s">
        <v>23</v>
      </c>
      <c r="J694">
        <v>10022</v>
      </c>
      <c r="K694">
        <v>8258</v>
      </c>
      <c r="L694">
        <v>3</v>
      </c>
    </row>
    <row r="695" spans="1:12" x14ac:dyDescent="0.3">
      <c r="A695">
        <v>1694</v>
      </c>
      <c r="B695" s="1">
        <v>45455</v>
      </c>
      <c r="C695">
        <v>2024</v>
      </c>
      <c r="D695" t="s">
        <v>31</v>
      </c>
      <c r="E695" t="s">
        <v>24</v>
      </c>
      <c r="F695" t="s">
        <v>25</v>
      </c>
      <c r="G695" t="s">
        <v>29</v>
      </c>
      <c r="H695" t="s">
        <v>46</v>
      </c>
      <c r="I695" t="s">
        <v>17</v>
      </c>
      <c r="J695">
        <v>25557</v>
      </c>
      <c r="K695">
        <v>21117</v>
      </c>
      <c r="L695">
        <v>2</v>
      </c>
    </row>
    <row r="696" spans="1:12" x14ac:dyDescent="0.3">
      <c r="A696">
        <v>1695</v>
      </c>
      <c r="B696" s="1">
        <v>45308</v>
      </c>
      <c r="C696">
        <v>2024</v>
      </c>
      <c r="D696" t="s">
        <v>35</v>
      </c>
      <c r="E696" t="s">
        <v>19</v>
      </c>
      <c r="F696" t="s">
        <v>40</v>
      </c>
      <c r="G696" t="s">
        <v>40</v>
      </c>
      <c r="H696" t="s">
        <v>30</v>
      </c>
      <c r="I696" t="s">
        <v>23</v>
      </c>
      <c r="J696">
        <v>6102</v>
      </c>
      <c r="K696">
        <v>3791</v>
      </c>
      <c r="L696">
        <v>2</v>
      </c>
    </row>
    <row r="697" spans="1:12" x14ac:dyDescent="0.3">
      <c r="A697">
        <v>1696</v>
      </c>
      <c r="B697" s="1">
        <v>45229</v>
      </c>
      <c r="C697">
        <v>2023</v>
      </c>
      <c r="D697" t="s">
        <v>12</v>
      </c>
      <c r="E697" t="s">
        <v>24</v>
      </c>
      <c r="F697" t="s">
        <v>25</v>
      </c>
      <c r="G697" t="s">
        <v>29</v>
      </c>
      <c r="H697" t="s">
        <v>22</v>
      </c>
      <c r="I697" t="s">
        <v>23</v>
      </c>
      <c r="J697">
        <v>4692</v>
      </c>
      <c r="K697">
        <v>3953</v>
      </c>
      <c r="L697">
        <v>3</v>
      </c>
    </row>
    <row r="698" spans="1:12" x14ac:dyDescent="0.3">
      <c r="A698">
        <v>1697</v>
      </c>
      <c r="B698" s="1">
        <v>45395</v>
      </c>
      <c r="C698">
        <v>2024</v>
      </c>
      <c r="D698" t="s">
        <v>38</v>
      </c>
      <c r="E698" t="s">
        <v>13</v>
      </c>
      <c r="F698" t="s">
        <v>43</v>
      </c>
      <c r="G698" t="s">
        <v>44</v>
      </c>
      <c r="H698" t="s">
        <v>46</v>
      </c>
      <c r="I698" t="s">
        <v>17</v>
      </c>
      <c r="J698">
        <v>15886</v>
      </c>
      <c r="K698">
        <v>9762</v>
      </c>
      <c r="L698">
        <v>1</v>
      </c>
    </row>
    <row r="699" spans="1:12" x14ac:dyDescent="0.3">
      <c r="A699">
        <v>1698</v>
      </c>
      <c r="B699" s="1">
        <v>45197</v>
      </c>
      <c r="C699">
        <v>2023</v>
      </c>
      <c r="D699" t="s">
        <v>42</v>
      </c>
      <c r="E699" t="s">
        <v>24</v>
      </c>
      <c r="F699" t="s">
        <v>25</v>
      </c>
      <c r="G699" t="s">
        <v>26</v>
      </c>
      <c r="H699" t="s">
        <v>34</v>
      </c>
      <c r="I699" t="s">
        <v>23</v>
      </c>
      <c r="J699">
        <v>17543</v>
      </c>
      <c r="K699">
        <v>11607</v>
      </c>
      <c r="L699">
        <v>5</v>
      </c>
    </row>
    <row r="700" spans="1:12" x14ac:dyDescent="0.3">
      <c r="A700">
        <v>1699</v>
      </c>
      <c r="B700" s="1">
        <v>45570</v>
      </c>
      <c r="C700">
        <v>2024</v>
      </c>
      <c r="D700" t="s">
        <v>12</v>
      </c>
      <c r="E700" t="s">
        <v>19</v>
      </c>
      <c r="F700" t="s">
        <v>20</v>
      </c>
      <c r="G700" t="s">
        <v>21</v>
      </c>
      <c r="H700" t="s">
        <v>41</v>
      </c>
      <c r="I700" t="s">
        <v>23</v>
      </c>
      <c r="J700">
        <v>15829</v>
      </c>
      <c r="K700">
        <v>11391</v>
      </c>
      <c r="L700">
        <v>2</v>
      </c>
    </row>
    <row r="701" spans="1:12" x14ac:dyDescent="0.3">
      <c r="A701">
        <v>1700</v>
      </c>
      <c r="B701" s="1">
        <v>45178</v>
      </c>
      <c r="C701">
        <v>2023</v>
      </c>
      <c r="D701" t="s">
        <v>42</v>
      </c>
      <c r="E701" t="s">
        <v>19</v>
      </c>
      <c r="F701" t="s">
        <v>40</v>
      </c>
      <c r="G701" t="s">
        <v>40</v>
      </c>
      <c r="H701" t="s">
        <v>34</v>
      </c>
      <c r="I701" t="s">
        <v>23</v>
      </c>
      <c r="J701">
        <v>23949</v>
      </c>
      <c r="K701">
        <v>15654</v>
      </c>
      <c r="L701">
        <v>3</v>
      </c>
    </row>
    <row r="702" spans="1:12" x14ac:dyDescent="0.3">
      <c r="A702">
        <v>1701</v>
      </c>
      <c r="B702" s="1">
        <v>45254</v>
      </c>
      <c r="C702">
        <v>2023</v>
      </c>
      <c r="D702" t="s">
        <v>39</v>
      </c>
      <c r="E702" t="s">
        <v>19</v>
      </c>
      <c r="F702" t="s">
        <v>40</v>
      </c>
      <c r="G702" t="s">
        <v>40</v>
      </c>
      <c r="H702" t="s">
        <v>27</v>
      </c>
      <c r="I702" t="s">
        <v>17</v>
      </c>
      <c r="J702">
        <v>23022</v>
      </c>
      <c r="K702">
        <v>17734</v>
      </c>
      <c r="L702">
        <v>3</v>
      </c>
    </row>
    <row r="703" spans="1:12" x14ac:dyDescent="0.3">
      <c r="A703">
        <v>1702</v>
      </c>
      <c r="B703" s="1">
        <v>45398</v>
      </c>
      <c r="C703">
        <v>2024</v>
      </c>
      <c r="D703" t="s">
        <v>38</v>
      </c>
      <c r="E703" t="s">
        <v>24</v>
      </c>
      <c r="F703" t="s">
        <v>25</v>
      </c>
      <c r="G703" t="s">
        <v>29</v>
      </c>
      <c r="H703" t="s">
        <v>22</v>
      </c>
      <c r="I703" t="s">
        <v>23</v>
      </c>
      <c r="J703">
        <v>8485</v>
      </c>
      <c r="K703">
        <v>6006</v>
      </c>
      <c r="L703">
        <v>2</v>
      </c>
    </row>
    <row r="704" spans="1:12" x14ac:dyDescent="0.3">
      <c r="A704">
        <v>1703</v>
      </c>
      <c r="B704" s="1">
        <v>45498</v>
      </c>
      <c r="C704">
        <v>2024</v>
      </c>
      <c r="D704" t="s">
        <v>28</v>
      </c>
      <c r="E704" t="s">
        <v>19</v>
      </c>
      <c r="F704" t="s">
        <v>20</v>
      </c>
      <c r="G704" t="s">
        <v>21</v>
      </c>
      <c r="H704" t="s">
        <v>41</v>
      </c>
      <c r="I704" t="s">
        <v>23</v>
      </c>
      <c r="J704">
        <v>8493</v>
      </c>
      <c r="K704">
        <v>5604</v>
      </c>
      <c r="L704">
        <v>2</v>
      </c>
    </row>
    <row r="705" spans="1:12" x14ac:dyDescent="0.3">
      <c r="A705">
        <v>1704</v>
      </c>
      <c r="B705" s="1">
        <v>45253</v>
      </c>
      <c r="C705">
        <v>2023</v>
      </c>
      <c r="D705" t="s">
        <v>39</v>
      </c>
      <c r="E705" t="s">
        <v>13</v>
      </c>
      <c r="F705" t="s">
        <v>36</v>
      </c>
      <c r="G705" t="s">
        <v>37</v>
      </c>
      <c r="H705" t="s">
        <v>30</v>
      </c>
      <c r="I705" t="s">
        <v>23</v>
      </c>
      <c r="J705">
        <v>10890</v>
      </c>
      <c r="K705">
        <v>7575</v>
      </c>
      <c r="L705">
        <v>3</v>
      </c>
    </row>
    <row r="706" spans="1:12" x14ac:dyDescent="0.3">
      <c r="A706">
        <v>1705</v>
      </c>
      <c r="B706" s="1">
        <v>45227</v>
      </c>
      <c r="C706">
        <v>2023</v>
      </c>
      <c r="D706" t="s">
        <v>12</v>
      </c>
      <c r="E706" t="s">
        <v>24</v>
      </c>
      <c r="F706" t="s">
        <v>25</v>
      </c>
      <c r="G706" t="s">
        <v>26</v>
      </c>
      <c r="H706" t="s">
        <v>41</v>
      </c>
      <c r="I706" t="s">
        <v>23</v>
      </c>
      <c r="J706">
        <v>13894</v>
      </c>
      <c r="K706">
        <v>9072</v>
      </c>
      <c r="L706">
        <v>1</v>
      </c>
    </row>
    <row r="707" spans="1:12" x14ac:dyDescent="0.3">
      <c r="A707">
        <v>1706</v>
      </c>
      <c r="B707" s="1">
        <v>44982</v>
      </c>
      <c r="C707">
        <v>2023</v>
      </c>
      <c r="D707" t="s">
        <v>45</v>
      </c>
      <c r="E707" t="s">
        <v>19</v>
      </c>
      <c r="F707" t="s">
        <v>20</v>
      </c>
      <c r="G707" t="s">
        <v>21</v>
      </c>
      <c r="H707" t="s">
        <v>16</v>
      </c>
      <c r="I707" t="s">
        <v>17</v>
      </c>
      <c r="J707">
        <v>55287</v>
      </c>
      <c r="K707">
        <v>40666</v>
      </c>
      <c r="L707">
        <v>3</v>
      </c>
    </row>
    <row r="708" spans="1:12" x14ac:dyDescent="0.3">
      <c r="A708">
        <v>1707</v>
      </c>
      <c r="B708" s="1">
        <v>45294</v>
      </c>
      <c r="C708">
        <v>2024</v>
      </c>
      <c r="D708" t="s">
        <v>35</v>
      </c>
      <c r="E708" t="s">
        <v>13</v>
      </c>
      <c r="F708" t="s">
        <v>43</v>
      </c>
      <c r="G708" t="s">
        <v>44</v>
      </c>
      <c r="H708" t="s">
        <v>46</v>
      </c>
      <c r="I708" t="s">
        <v>17</v>
      </c>
      <c r="J708">
        <v>12019</v>
      </c>
      <c r="K708">
        <v>9539</v>
      </c>
      <c r="L708">
        <v>4</v>
      </c>
    </row>
    <row r="709" spans="1:12" x14ac:dyDescent="0.3">
      <c r="A709">
        <v>1708</v>
      </c>
      <c r="B709" s="1">
        <v>45510</v>
      </c>
      <c r="C709">
        <v>2024</v>
      </c>
      <c r="D709" t="s">
        <v>48</v>
      </c>
      <c r="E709" t="s">
        <v>13</v>
      </c>
      <c r="F709" t="s">
        <v>43</v>
      </c>
      <c r="G709" t="s">
        <v>44</v>
      </c>
      <c r="H709" t="s">
        <v>22</v>
      </c>
      <c r="I709" t="s">
        <v>23</v>
      </c>
      <c r="J709">
        <v>3096</v>
      </c>
      <c r="K709">
        <v>2410</v>
      </c>
      <c r="L709">
        <v>4</v>
      </c>
    </row>
    <row r="710" spans="1:12" x14ac:dyDescent="0.3">
      <c r="A710">
        <v>1709</v>
      </c>
      <c r="B710" s="1">
        <v>45401</v>
      </c>
      <c r="C710">
        <v>2024</v>
      </c>
      <c r="D710" t="s">
        <v>38</v>
      </c>
      <c r="E710" t="s">
        <v>19</v>
      </c>
      <c r="F710" t="s">
        <v>40</v>
      </c>
      <c r="G710" t="s">
        <v>40</v>
      </c>
      <c r="H710" t="s">
        <v>34</v>
      </c>
      <c r="I710" t="s">
        <v>23</v>
      </c>
      <c r="J710">
        <v>16675</v>
      </c>
      <c r="K710">
        <v>11298</v>
      </c>
      <c r="L710">
        <v>4</v>
      </c>
    </row>
    <row r="711" spans="1:12" x14ac:dyDescent="0.3">
      <c r="A711">
        <v>1710</v>
      </c>
      <c r="B711" s="1">
        <v>45596</v>
      </c>
      <c r="C711">
        <v>2024</v>
      </c>
      <c r="D711" t="s">
        <v>12</v>
      </c>
      <c r="E711" t="s">
        <v>19</v>
      </c>
      <c r="F711" t="s">
        <v>40</v>
      </c>
      <c r="G711" t="s">
        <v>40</v>
      </c>
      <c r="H711" t="s">
        <v>34</v>
      </c>
      <c r="I711" t="s">
        <v>23</v>
      </c>
      <c r="J711">
        <v>19191</v>
      </c>
      <c r="K711">
        <v>13854</v>
      </c>
      <c r="L711">
        <v>5</v>
      </c>
    </row>
    <row r="712" spans="1:12" x14ac:dyDescent="0.3">
      <c r="A712">
        <v>1711</v>
      </c>
      <c r="B712" s="1">
        <v>45408</v>
      </c>
      <c r="C712">
        <v>2024</v>
      </c>
      <c r="D712" t="s">
        <v>38</v>
      </c>
      <c r="E712" t="s">
        <v>13</v>
      </c>
      <c r="F712" t="s">
        <v>43</v>
      </c>
      <c r="G712" t="s">
        <v>44</v>
      </c>
      <c r="H712" t="s">
        <v>41</v>
      </c>
      <c r="I712" t="s">
        <v>23</v>
      </c>
      <c r="J712">
        <v>8963</v>
      </c>
      <c r="K712">
        <v>6760</v>
      </c>
      <c r="L712">
        <v>2</v>
      </c>
    </row>
    <row r="713" spans="1:12" x14ac:dyDescent="0.3">
      <c r="A713">
        <v>1712</v>
      </c>
      <c r="B713" s="1">
        <v>45647</v>
      </c>
      <c r="C713">
        <v>2024</v>
      </c>
      <c r="D713" t="s">
        <v>47</v>
      </c>
      <c r="E713" t="s">
        <v>24</v>
      </c>
      <c r="F713" t="s">
        <v>32</v>
      </c>
      <c r="G713" t="s">
        <v>33</v>
      </c>
      <c r="H713" t="s">
        <v>16</v>
      </c>
      <c r="I713" t="s">
        <v>17</v>
      </c>
      <c r="J713">
        <v>58748</v>
      </c>
      <c r="K713">
        <v>43020</v>
      </c>
      <c r="L713">
        <v>2</v>
      </c>
    </row>
    <row r="714" spans="1:12" x14ac:dyDescent="0.3">
      <c r="A714">
        <v>1713</v>
      </c>
      <c r="B714" s="1">
        <v>45223</v>
      </c>
      <c r="C714">
        <v>2023</v>
      </c>
      <c r="D714" t="s">
        <v>12</v>
      </c>
      <c r="E714" t="s">
        <v>13</v>
      </c>
      <c r="F714" t="s">
        <v>14</v>
      </c>
      <c r="G714" t="s">
        <v>15</v>
      </c>
      <c r="H714" t="s">
        <v>34</v>
      </c>
      <c r="I714" t="s">
        <v>23</v>
      </c>
      <c r="J714">
        <v>39483</v>
      </c>
      <c r="K714">
        <v>32129</v>
      </c>
      <c r="L714">
        <v>1</v>
      </c>
    </row>
    <row r="715" spans="1:12" x14ac:dyDescent="0.3">
      <c r="A715">
        <v>1714</v>
      </c>
      <c r="B715" s="1">
        <v>45206</v>
      </c>
      <c r="C715">
        <v>2023</v>
      </c>
      <c r="D715" t="s">
        <v>12</v>
      </c>
      <c r="E715" t="s">
        <v>24</v>
      </c>
      <c r="F715" t="s">
        <v>32</v>
      </c>
      <c r="G715" t="s">
        <v>33</v>
      </c>
      <c r="H715" t="s">
        <v>34</v>
      </c>
      <c r="I715" t="s">
        <v>23</v>
      </c>
      <c r="J715">
        <v>22703</v>
      </c>
      <c r="K715">
        <v>17668</v>
      </c>
      <c r="L715">
        <v>3</v>
      </c>
    </row>
    <row r="716" spans="1:12" x14ac:dyDescent="0.3">
      <c r="A716">
        <v>1715</v>
      </c>
      <c r="B716" s="1">
        <v>44976</v>
      </c>
      <c r="C716">
        <v>2023</v>
      </c>
      <c r="D716" t="s">
        <v>45</v>
      </c>
      <c r="E716" t="s">
        <v>24</v>
      </c>
      <c r="F716" t="s">
        <v>25</v>
      </c>
      <c r="G716" t="s">
        <v>29</v>
      </c>
      <c r="H716" t="s">
        <v>41</v>
      </c>
      <c r="I716" t="s">
        <v>23</v>
      </c>
      <c r="J716">
        <v>12112</v>
      </c>
      <c r="K716">
        <v>9272</v>
      </c>
      <c r="L716">
        <v>1</v>
      </c>
    </row>
    <row r="717" spans="1:12" x14ac:dyDescent="0.3">
      <c r="A717">
        <v>1716</v>
      </c>
      <c r="B717" s="1">
        <v>45341</v>
      </c>
      <c r="C717">
        <v>2024</v>
      </c>
      <c r="D717" t="s">
        <v>45</v>
      </c>
      <c r="E717" t="s">
        <v>24</v>
      </c>
      <c r="F717" t="s">
        <v>32</v>
      </c>
      <c r="G717" t="s">
        <v>33</v>
      </c>
      <c r="H717" t="s">
        <v>30</v>
      </c>
      <c r="I717" t="s">
        <v>23</v>
      </c>
      <c r="J717">
        <v>9557</v>
      </c>
      <c r="K717">
        <v>5989</v>
      </c>
      <c r="L717">
        <v>3</v>
      </c>
    </row>
    <row r="718" spans="1:12" x14ac:dyDescent="0.3">
      <c r="A718">
        <v>1717</v>
      </c>
      <c r="B718" s="1">
        <v>45339</v>
      </c>
      <c r="C718">
        <v>2024</v>
      </c>
      <c r="D718" t="s">
        <v>45</v>
      </c>
      <c r="E718" t="s">
        <v>24</v>
      </c>
      <c r="F718" t="s">
        <v>25</v>
      </c>
      <c r="G718" t="s">
        <v>29</v>
      </c>
      <c r="H718" t="s">
        <v>27</v>
      </c>
      <c r="I718" t="s">
        <v>17</v>
      </c>
      <c r="J718">
        <v>33870</v>
      </c>
      <c r="K718">
        <v>25121</v>
      </c>
      <c r="L718">
        <v>2</v>
      </c>
    </row>
    <row r="719" spans="1:12" x14ac:dyDescent="0.3">
      <c r="A719">
        <v>1718</v>
      </c>
      <c r="B719" s="1">
        <v>45555</v>
      </c>
      <c r="C719">
        <v>2024</v>
      </c>
      <c r="D719" t="s">
        <v>42</v>
      </c>
      <c r="E719" t="s">
        <v>19</v>
      </c>
      <c r="F719" t="s">
        <v>40</v>
      </c>
      <c r="G719" t="s">
        <v>40</v>
      </c>
      <c r="H719" t="s">
        <v>16</v>
      </c>
      <c r="I719" t="s">
        <v>17</v>
      </c>
      <c r="J719">
        <v>61679</v>
      </c>
      <c r="K719">
        <v>41208</v>
      </c>
      <c r="L719">
        <v>2</v>
      </c>
    </row>
    <row r="720" spans="1:12" x14ac:dyDescent="0.3">
      <c r="A720">
        <v>1719</v>
      </c>
      <c r="B720" s="1">
        <v>45254</v>
      </c>
      <c r="C720">
        <v>2023</v>
      </c>
      <c r="D720" t="s">
        <v>39</v>
      </c>
      <c r="E720" t="s">
        <v>19</v>
      </c>
      <c r="F720" t="s">
        <v>40</v>
      </c>
      <c r="G720" t="s">
        <v>40</v>
      </c>
      <c r="H720" t="s">
        <v>41</v>
      </c>
      <c r="I720" t="s">
        <v>23</v>
      </c>
      <c r="J720">
        <v>10575</v>
      </c>
      <c r="K720">
        <v>8875</v>
      </c>
      <c r="L720">
        <v>1</v>
      </c>
    </row>
    <row r="721" spans="1:12" x14ac:dyDescent="0.3">
      <c r="A721">
        <v>1720</v>
      </c>
      <c r="B721" s="1">
        <v>45218</v>
      </c>
      <c r="C721">
        <v>2023</v>
      </c>
      <c r="D721" t="s">
        <v>12</v>
      </c>
      <c r="E721" t="s">
        <v>24</v>
      </c>
      <c r="F721" t="s">
        <v>32</v>
      </c>
      <c r="G721" t="s">
        <v>33</v>
      </c>
      <c r="H721" t="s">
        <v>30</v>
      </c>
      <c r="I721" t="s">
        <v>23</v>
      </c>
      <c r="J721">
        <v>11428</v>
      </c>
      <c r="K721">
        <v>9352</v>
      </c>
      <c r="L721">
        <v>4</v>
      </c>
    </row>
    <row r="722" spans="1:12" x14ac:dyDescent="0.3">
      <c r="A722">
        <v>1721</v>
      </c>
      <c r="B722" s="1">
        <v>45533</v>
      </c>
      <c r="C722">
        <v>2024</v>
      </c>
      <c r="D722" t="s">
        <v>48</v>
      </c>
      <c r="E722" t="s">
        <v>13</v>
      </c>
      <c r="F722" t="s">
        <v>43</v>
      </c>
      <c r="G722" t="s">
        <v>44</v>
      </c>
      <c r="H722" t="s">
        <v>41</v>
      </c>
      <c r="I722" t="s">
        <v>23</v>
      </c>
      <c r="J722">
        <v>17308</v>
      </c>
      <c r="K722">
        <v>11130</v>
      </c>
      <c r="L722">
        <v>4</v>
      </c>
    </row>
    <row r="723" spans="1:12" x14ac:dyDescent="0.3">
      <c r="A723">
        <v>1722</v>
      </c>
      <c r="B723" s="1">
        <v>45605</v>
      </c>
      <c r="C723">
        <v>2024</v>
      </c>
      <c r="D723" t="s">
        <v>39</v>
      </c>
      <c r="E723" t="s">
        <v>19</v>
      </c>
      <c r="F723" t="s">
        <v>20</v>
      </c>
      <c r="G723" t="s">
        <v>21</v>
      </c>
      <c r="H723" t="s">
        <v>41</v>
      </c>
      <c r="I723" t="s">
        <v>23</v>
      </c>
      <c r="J723">
        <v>8852</v>
      </c>
      <c r="K723">
        <v>5899</v>
      </c>
      <c r="L723">
        <v>4</v>
      </c>
    </row>
    <row r="724" spans="1:12" x14ac:dyDescent="0.3">
      <c r="A724">
        <v>1723</v>
      </c>
      <c r="B724" s="1">
        <v>45527</v>
      </c>
      <c r="C724">
        <v>2024</v>
      </c>
      <c r="D724" t="s">
        <v>48</v>
      </c>
      <c r="E724" t="s">
        <v>24</v>
      </c>
      <c r="F724" t="s">
        <v>25</v>
      </c>
      <c r="G724" t="s">
        <v>26</v>
      </c>
      <c r="H724" t="s">
        <v>22</v>
      </c>
      <c r="I724" t="s">
        <v>23</v>
      </c>
      <c r="J724">
        <v>8299</v>
      </c>
      <c r="K724">
        <v>6478</v>
      </c>
      <c r="L724">
        <v>4</v>
      </c>
    </row>
    <row r="725" spans="1:12" x14ac:dyDescent="0.3">
      <c r="A725">
        <v>1724</v>
      </c>
      <c r="B725" s="1">
        <v>45652</v>
      </c>
      <c r="C725">
        <v>2024</v>
      </c>
      <c r="D725" t="s">
        <v>47</v>
      </c>
      <c r="E725" t="s">
        <v>13</v>
      </c>
      <c r="F725" t="s">
        <v>43</v>
      </c>
      <c r="G725" t="s">
        <v>44</v>
      </c>
      <c r="H725" t="s">
        <v>41</v>
      </c>
      <c r="I725" t="s">
        <v>23</v>
      </c>
      <c r="J725">
        <v>11835</v>
      </c>
      <c r="K725">
        <v>8348</v>
      </c>
      <c r="L725">
        <v>1</v>
      </c>
    </row>
    <row r="726" spans="1:12" x14ac:dyDescent="0.3">
      <c r="A726">
        <v>1725</v>
      </c>
      <c r="B726" s="1">
        <v>45061</v>
      </c>
      <c r="C726">
        <v>2023</v>
      </c>
      <c r="D726" t="s">
        <v>18</v>
      </c>
      <c r="E726" t="s">
        <v>24</v>
      </c>
      <c r="F726" t="s">
        <v>25</v>
      </c>
      <c r="G726" t="s">
        <v>26</v>
      </c>
      <c r="H726" t="s">
        <v>30</v>
      </c>
      <c r="I726" t="s">
        <v>23</v>
      </c>
      <c r="J726">
        <v>12737</v>
      </c>
      <c r="K726">
        <v>8761</v>
      </c>
      <c r="L726">
        <v>2</v>
      </c>
    </row>
    <row r="727" spans="1:12" x14ac:dyDescent="0.3">
      <c r="A727">
        <v>1726</v>
      </c>
      <c r="B727" s="1">
        <v>45167</v>
      </c>
      <c r="C727">
        <v>2023</v>
      </c>
      <c r="D727" t="s">
        <v>48</v>
      </c>
      <c r="E727" t="s">
        <v>13</v>
      </c>
      <c r="F727" t="s">
        <v>14</v>
      </c>
      <c r="G727" t="s">
        <v>15</v>
      </c>
      <c r="H727" t="s">
        <v>30</v>
      </c>
      <c r="I727" t="s">
        <v>23</v>
      </c>
      <c r="J727">
        <v>13878</v>
      </c>
      <c r="K727">
        <v>8970</v>
      </c>
      <c r="L727">
        <v>5</v>
      </c>
    </row>
    <row r="728" spans="1:12" x14ac:dyDescent="0.3">
      <c r="A728">
        <v>1727</v>
      </c>
      <c r="B728" s="1">
        <v>45518</v>
      </c>
      <c r="C728">
        <v>2024</v>
      </c>
      <c r="D728" t="s">
        <v>48</v>
      </c>
      <c r="E728" t="s">
        <v>13</v>
      </c>
      <c r="F728" t="s">
        <v>43</v>
      </c>
      <c r="G728" t="s">
        <v>44</v>
      </c>
      <c r="H728" t="s">
        <v>22</v>
      </c>
      <c r="I728" t="s">
        <v>23</v>
      </c>
      <c r="J728">
        <v>4001</v>
      </c>
      <c r="K728">
        <v>2916</v>
      </c>
      <c r="L728">
        <v>3</v>
      </c>
    </row>
    <row r="729" spans="1:12" x14ac:dyDescent="0.3">
      <c r="A729">
        <v>1728</v>
      </c>
      <c r="B729" s="1">
        <v>45297</v>
      </c>
      <c r="C729">
        <v>2024</v>
      </c>
      <c r="D729" t="s">
        <v>35</v>
      </c>
      <c r="E729" t="s">
        <v>24</v>
      </c>
      <c r="F729" t="s">
        <v>32</v>
      </c>
      <c r="G729" t="s">
        <v>33</v>
      </c>
      <c r="H729" t="s">
        <v>27</v>
      </c>
      <c r="I729" t="s">
        <v>17</v>
      </c>
      <c r="J729">
        <v>16543</v>
      </c>
      <c r="K729">
        <v>11687</v>
      </c>
      <c r="L729">
        <v>2</v>
      </c>
    </row>
    <row r="730" spans="1:12" x14ac:dyDescent="0.3">
      <c r="A730">
        <v>1729</v>
      </c>
      <c r="B730" s="1">
        <v>45223</v>
      </c>
      <c r="C730">
        <v>2023</v>
      </c>
      <c r="D730" t="s">
        <v>12</v>
      </c>
      <c r="E730" t="s">
        <v>24</v>
      </c>
      <c r="F730" t="s">
        <v>25</v>
      </c>
      <c r="G730" t="s">
        <v>26</v>
      </c>
      <c r="H730" t="s">
        <v>41</v>
      </c>
      <c r="I730" t="s">
        <v>23</v>
      </c>
      <c r="J730">
        <v>8041</v>
      </c>
      <c r="K730">
        <v>5113</v>
      </c>
      <c r="L730">
        <v>5</v>
      </c>
    </row>
    <row r="731" spans="1:12" x14ac:dyDescent="0.3">
      <c r="A731">
        <v>1730</v>
      </c>
      <c r="B731" s="1">
        <v>45117</v>
      </c>
      <c r="C731">
        <v>2023</v>
      </c>
      <c r="D731" t="s">
        <v>28</v>
      </c>
      <c r="E731" t="s">
        <v>24</v>
      </c>
      <c r="F731" t="s">
        <v>32</v>
      </c>
      <c r="G731" t="s">
        <v>33</v>
      </c>
      <c r="H731" t="s">
        <v>41</v>
      </c>
      <c r="I731" t="s">
        <v>23</v>
      </c>
      <c r="J731">
        <v>12178</v>
      </c>
      <c r="K731">
        <v>7707</v>
      </c>
      <c r="L731">
        <v>5</v>
      </c>
    </row>
    <row r="732" spans="1:12" x14ac:dyDescent="0.3">
      <c r="A732">
        <v>1731</v>
      </c>
      <c r="B732" s="1">
        <v>45649</v>
      </c>
      <c r="C732">
        <v>2024</v>
      </c>
      <c r="D732" t="s">
        <v>47</v>
      </c>
      <c r="E732" t="s">
        <v>24</v>
      </c>
      <c r="F732" t="s">
        <v>25</v>
      </c>
      <c r="G732" t="s">
        <v>26</v>
      </c>
      <c r="H732" t="s">
        <v>34</v>
      </c>
      <c r="I732" t="s">
        <v>23</v>
      </c>
      <c r="J732">
        <v>25636</v>
      </c>
      <c r="K732">
        <v>21642</v>
      </c>
      <c r="L732">
        <v>5</v>
      </c>
    </row>
    <row r="733" spans="1:12" x14ac:dyDescent="0.3">
      <c r="A733">
        <v>1732</v>
      </c>
      <c r="B733" s="1">
        <v>45384</v>
      </c>
      <c r="C733">
        <v>2024</v>
      </c>
      <c r="D733" t="s">
        <v>38</v>
      </c>
      <c r="E733" t="s">
        <v>19</v>
      </c>
      <c r="F733" t="s">
        <v>20</v>
      </c>
      <c r="G733" t="s">
        <v>21</v>
      </c>
      <c r="H733" t="s">
        <v>41</v>
      </c>
      <c r="I733" t="s">
        <v>23</v>
      </c>
      <c r="J733">
        <v>11225</v>
      </c>
      <c r="K733">
        <v>9214</v>
      </c>
      <c r="L733">
        <v>4</v>
      </c>
    </row>
    <row r="734" spans="1:12" x14ac:dyDescent="0.3">
      <c r="A734">
        <v>1733</v>
      </c>
      <c r="B734" s="1">
        <v>45374</v>
      </c>
      <c r="C734">
        <v>2024</v>
      </c>
      <c r="D734" t="s">
        <v>49</v>
      </c>
      <c r="E734" t="s">
        <v>24</v>
      </c>
      <c r="F734" t="s">
        <v>25</v>
      </c>
      <c r="G734" t="s">
        <v>29</v>
      </c>
      <c r="H734" t="s">
        <v>41</v>
      </c>
      <c r="I734" t="s">
        <v>23</v>
      </c>
      <c r="J734">
        <v>13275</v>
      </c>
      <c r="K734">
        <v>8479</v>
      </c>
      <c r="L734">
        <v>5</v>
      </c>
    </row>
    <row r="735" spans="1:12" x14ac:dyDescent="0.3">
      <c r="A735">
        <v>1734</v>
      </c>
      <c r="B735" s="1">
        <v>45218</v>
      </c>
      <c r="C735">
        <v>2023</v>
      </c>
      <c r="D735" t="s">
        <v>12</v>
      </c>
      <c r="E735" t="s">
        <v>13</v>
      </c>
      <c r="F735" t="s">
        <v>14</v>
      </c>
      <c r="G735" t="s">
        <v>15</v>
      </c>
      <c r="H735" t="s">
        <v>27</v>
      </c>
      <c r="I735" t="s">
        <v>17</v>
      </c>
      <c r="J735">
        <v>24004</v>
      </c>
      <c r="K735">
        <v>16989</v>
      </c>
      <c r="L735">
        <v>5</v>
      </c>
    </row>
    <row r="736" spans="1:12" x14ac:dyDescent="0.3">
      <c r="A736">
        <v>1735</v>
      </c>
      <c r="B736" s="1">
        <v>45125</v>
      </c>
      <c r="C736">
        <v>2023</v>
      </c>
      <c r="D736" t="s">
        <v>28</v>
      </c>
      <c r="E736" t="s">
        <v>13</v>
      </c>
      <c r="F736" t="s">
        <v>14</v>
      </c>
      <c r="G736" t="s">
        <v>15</v>
      </c>
      <c r="H736" t="s">
        <v>41</v>
      </c>
      <c r="I736" t="s">
        <v>23</v>
      </c>
      <c r="J736">
        <v>11922</v>
      </c>
      <c r="K736">
        <v>7512</v>
      </c>
      <c r="L736">
        <v>4</v>
      </c>
    </row>
    <row r="737" spans="1:12" x14ac:dyDescent="0.3">
      <c r="A737">
        <v>1736</v>
      </c>
      <c r="B737" s="1">
        <v>45304</v>
      </c>
      <c r="C737">
        <v>2024</v>
      </c>
      <c r="D737" t="s">
        <v>35</v>
      </c>
      <c r="E737" t="s">
        <v>13</v>
      </c>
      <c r="F737" t="s">
        <v>36</v>
      </c>
      <c r="G737" t="s">
        <v>37</v>
      </c>
      <c r="H737" t="s">
        <v>22</v>
      </c>
      <c r="I737" t="s">
        <v>23</v>
      </c>
      <c r="J737">
        <v>7314</v>
      </c>
      <c r="K737">
        <v>5296</v>
      </c>
      <c r="L737">
        <v>4</v>
      </c>
    </row>
    <row r="738" spans="1:12" x14ac:dyDescent="0.3">
      <c r="A738">
        <v>1737</v>
      </c>
      <c r="B738" s="1">
        <v>45593</v>
      </c>
      <c r="C738">
        <v>2024</v>
      </c>
      <c r="D738" t="s">
        <v>12</v>
      </c>
      <c r="E738" t="s">
        <v>24</v>
      </c>
      <c r="F738" t="s">
        <v>32</v>
      </c>
      <c r="G738" t="s">
        <v>33</v>
      </c>
      <c r="H738" t="s">
        <v>41</v>
      </c>
      <c r="I738" t="s">
        <v>23</v>
      </c>
      <c r="J738">
        <v>13029</v>
      </c>
      <c r="K738">
        <v>9587</v>
      </c>
      <c r="L738">
        <v>2</v>
      </c>
    </row>
    <row r="739" spans="1:12" x14ac:dyDescent="0.3">
      <c r="A739">
        <v>1738</v>
      </c>
      <c r="B739" s="1">
        <v>45256</v>
      </c>
      <c r="C739">
        <v>2023</v>
      </c>
      <c r="D739" t="s">
        <v>39</v>
      </c>
      <c r="E739" t="s">
        <v>24</v>
      </c>
      <c r="F739" t="s">
        <v>25</v>
      </c>
      <c r="G739" t="s">
        <v>29</v>
      </c>
      <c r="H739" t="s">
        <v>46</v>
      </c>
      <c r="I739" t="s">
        <v>17</v>
      </c>
      <c r="J739">
        <v>21000</v>
      </c>
      <c r="K739">
        <v>16689</v>
      </c>
      <c r="L739">
        <v>2</v>
      </c>
    </row>
    <row r="740" spans="1:12" x14ac:dyDescent="0.3">
      <c r="A740">
        <v>1739</v>
      </c>
      <c r="B740" s="1">
        <v>45239</v>
      </c>
      <c r="C740">
        <v>2023</v>
      </c>
      <c r="D740" t="s">
        <v>39</v>
      </c>
      <c r="E740" t="s">
        <v>24</v>
      </c>
      <c r="F740" t="s">
        <v>25</v>
      </c>
      <c r="G740" t="s">
        <v>29</v>
      </c>
      <c r="H740" t="s">
        <v>46</v>
      </c>
      <c r="I740" t="s">
        <v>17</v>
      </c>
      <c r="J740">
        <v>14357</v>
      </c>
      <c r="K740">
        <v>12091</v>
      </c>
      <c r="L740">
        <v>1</v>
      </c>
    </row>
    <row r="741" spans="1:12" x14ac:dyDescent="0.3">
      <c r="A741">
        <v>1740</v>
      </c>
      <c r="B741" s="1">
        <v>45204</v>
      </c>
      <c r="C741">
        <v>2023</v>
      </c>
      <c r="D741" t="s">
        <v>12</v>
      </c>
      <c r="E741" t="s">
        <v>19</v>
      </c>
      <c r="F741" t="s">
        <v>40</v>
      </c>
      <c r="G741" t="s">
        <v>40</v>
      </c>
      <c r="H741" t="s">
        <v>27</v>
      </c>
      <c r="I741" t="s">
        <v>17</v>
      </c>
      <c r="J741">
        <v>31997</v>
      </c>
      <c r="K741">
        <v>25382</v>
      </c>
      <c r="L741">
        <v>2</v>
      </c>
    </row>
    <row r="742" spans="1:12" x14ac:dyDescent="0.3">
      <c r="A742">
        <v>1741</v>
      </c>
      <c r="B742" s="1">
        <v>45500</v>
      </c>
      <c r="C742">
        <v>2024</v>
      </c>
      <c r="D742" t="s">
        <v>28</v>
      </c>
      <c r="E742" t="s">
        <v>13</v>
      </c>
      <c r="F742" t="s">
        <v>36</v>
      </c>
      <c r="G742" t="s">
        <v>37</v>
      </c>
      <c r="H742" t="s">
        <v>27</v>
      </c>
      <c r="I742" t="s">
        <v>17</v>
      </c>
      <c r="J742">
        <v>25279</v>
      </c>
      <c r="K742">
        <v>18307</v>
      </c>
      <c r="L742">
        <v>4</v>
      </c>
    </row>
    <row r="743" spans="1:12" x14ac:dyDescent="0.3">
      <c r="A743">
        <v>1742</v>
      </c>
      <c r="B743" s="1">
        <v>45212</v>
      </c>
      <c r="C743">
        <v>2023</v>
      </c>
      <c r="D743" t="s">
        <v>12</v>
      </c>
      <c r="E743" t="s">
        <v>24</v>
      </c>
      <c r="F743" t="s">
        <v>25</v>
      </c>
      <c r="G743" t="s">
        <v>26</v>
      </c>
      <c r="H743" t="s">
        <v>46</v>
      </c>
      <c r="I743" t="s">
        <v>17</v>
      </c>
      <c r="J743">
        <v>13114</v>
      </c>
      <c r="K743">
        <v>10958</v>
      </c>
      <c r="L743">
        <v>2</v>
      </c>
    </row>
    <row r="744" spans="1:12" x14ac:dyDescent="0.3">
      <c r="A744">
        <v>1743</v>
      </c>
      <c r="B744" s="1">
        <v>45498</v>
      </c>
      <c r="C744">
        <v>2024</v>
      </c>
      <c r="D744" t="s">
        <v>28</v>
      </c>
      <c r="E744" t="s">
        <v>24</v>
      </c>
      <c r="F744" t="s">
        <v>25</v>
      </c>
      <c r="G744" t="s">
        <v>29</v>
      </c>
      <c r="H744" t="s">
        <v>22</v>
      </c>
      <c r="I744" t="s">
        <v>23</v>
      </c>
      <c r="J744">
        <v>8574</v>
      </c>
      <c r="K744">
        <v>6644</v>
      </c>
      <c r="L744">
        <v>4</v>
      </c>
    </row>
    <row r="745" spans="1:12" x14ac:dyDescent="0.3">
      <c r="A745">
        <v>1744</v>
      </c>
      <c r="B745" s="1">
        <v>45340</v>
      </c>
      <c r="C745">
        <v>2024</v>
      </c>
      <c r="D745" t="s">
        <v>45</v>
      </c>
      <c r="E745" t="s">
        <v>24</v>
      </c>
      <c r="F745" t="s">
        <v>25</v>
      </c>
      <c r="G745" t="s">
        <v>29</v>
      </c>
      <c r="H745" t="s">
        <v>41</v>
      </c>
      <c r="I745" t="s">
        <v>23</v>
      </c>
      <c r="J745">
        <v>19958</v>
      </c>
      <c r="K745">
        <v>16195</v>
      </c>
      <c r="L745">
        <v>5</v>
      </c>
    </row>
    <row r="746" spans="1:12" x14ac:dyDescent="0.3">
      <c r="A746">
        <v>1745</v>
      </c>
      <c r="B746" s="1">
        <v>45022</v>
      </c>
      <c r="C746">
        <v>2023</v>
      </c>
      <c r="D746" t="s">
        <v>38</v>
      </c>
      <c r="E746" t="s">
        <v>19</v>
      </c>
      <c r="F746" t="s">
        <v>40</v>
      </c>
      <c r="G746" t="s">
        <v>40</v>
      </c>
      <c r="H746" t="s">
        <v>22</v>
      </c>
      <c r="I746" t="s">
        <v>23</v>
      </c>
      <c r="J746">
        <v>3563</v>
      </c>
      <c r="K746">
        <v>2547</v>
      </c>
      <c r="L746">
        <v>4</v>
      </c>
    </row>
    <row r="747" spans="1:12" x14ac:dyDescent="0.3">
      <c r="A747">
        <v>1746</v>
      </c>
      <c r="B747" s="1">
        <v>45087</v>
      </c>
      <c r="C747">
        <v>2023</v>
      </c>
      <c r="D747" t="s">
        <v>31</v>
      </c>
      <c r="E747" t="s">
        <v>13</v>
      </c>
      <c r="F747" t="s">
        <v>14</v>
      </c>
      <c r="G747" t="s">
        <v>15</v>
      </c>
      <c r="H747" t="s">
        <v>22</v>
      </c>
      <c r="I747" t="s">
        <v>23</v>
      </c>
      <c r="J747">
        <v>5832</v>
      </c>
      <c r="K747">
        <v>4949</v>
      </c>
      <c r="L747">
        <v>5</v>
      </c>
    </row>
    <row r="748" spans="1:12" x14ac:dyDescent="0.3">
      <c r="A748">
        <v>1747</v>
      </c>
      <c r="B748" s="1">
        <v>45084</v>
      </c>
      <c r="C748">
        <v>2023</v>
      </c>
      <c r="D748" t="s">
        <v>31</v>
      </c>
      <c r="E748" t="s">
        <v>24</v>
      </c>
      <c r="F748" t="s">
        <v>25</v>
      </c>
      <c r="G748" t="s">
        <v>26</v>
      </c>
      <c r="H748" t="s">
        <v>30</v>
      </c>
      <c r="I748" t="s">
        <v>23</v>
      </c>
      <c r="J748">
        <v>10796</v>
      </c>
      <c r="K748">
        <v>7621</v>
      </c>
      <c r="L748">
        <v>3</v>
      </c>
    </row>
    <row r="749" spans="1:12" x14ac:dyDescent="0.3">
      <c r="A749">
        <v>1748</v>
      </c>
      <c r="B749" s="1">
        <v>45163</v>
      </c>
      <c r="C749">
        <v>2023</v>
      </c>
      <c r="D749" t="s">
        <v>48</v>
      </c>
      <c r="E749" t="s">
        <v>13</v>
      </c>
      <c r="F749" t="s">
        <v>14</v>
      </c>
      <c r="G749" t="s">
        <v>15</v>
      </c>
      <c r="H749" t="s">
        <v>34</v>
      </c>
      <c r="I749" t="s">
        <v>23</v>
      </c>
      <c r="J749">
        <v>22350</v>
      </c>
      <c r="K749">
        <v>14671</v>
      </c>
      <c r="L749">
        <v>5</v>
      </c>
    </row>
    <row r="750" spans="1:12" x14ac:dyDescent="0.3">
      <c r="A750">
        <v>1749</v>
      </c>
      <c r="B750" s="1">
        <v>44959</v>
      </c>
      <c r="C750">
        <v>2023</v>
      </c>
      <c r="D750" t="s">
        <v>45</v>
      </c>
      <c r="E750" t="s">
        <v>24</v>
      </c>
      <c r="F750" t="s">
        <v>25</v>
      </c>
      <c r="G750" t="s">
        <v>26</v>
      </c>
      <c r="H750" t="s">
        <v>30</v>
      </c>
      <c r="I750" t="s">
        <v>23</v>
      </c>
      <c r="J750">
        <v>14048</v>
      </c>
      <c r="K750">
        <v>9198</v>
      </c>
      <c r="L750">
        <v>2</v>
      </c>
    </row>
    <row r="751" spans="1:12" x14ac:dyDescent="0.3">
      <c r="A751">
        <v>1750</v>
      </c>
      <c r="B751" s="1">
        <v>45510</v>
      </c>
      <c r="C751">
        <v>2024</v>
      </c>
      <c r="D751" t="s">
        <v>48</v>
      </c>
      <c r="E751" t="s">
        <v>24</v>
      </c>
      <c r="F751" t="s">
        <v>25</v>
      </c>
      <c r="G751" t="s">
        <v>29</v>
      </c>
      <c r="H751" t="s">
        <v>34</v>
      </c>
      <c r="I751" t="s">
        <v>23</v>
      </c>
      <c r="J751">
        <v>15881</v>
      </c>
      <c r="K751">
        <v>12553</v>
      </c>
      <c r="L751">
        <v>5</v>
      </c>
    </row>
    <row r="752" spans="1:12" x14ac:dyDescent="0.3">
      <c r="A752">
        <v>1751</v>
      </c>
      <c r="B752" s="1">
        <v>45291</v>
      </c>
      <c r="C752">
        <v>2023</v>
      </c>
      <c r="D752" t="s">
        <v>47</v>
      </c>
      <c r="E752" t="s">
        <v>19</v>
      </c>
      <c r="F752" t="s">
        <v>40</v>
      </c>
      <c r="G752" t="s">
        <v>40</v>
      </c>
      <c r="H752" t="s">
        <v>27</v>
      </c>
      <c r="I752" t="s">
        <v>17</v>
      </c>
      <c r="J752">
        <v>22655</v>
      </c>
      <c r="K752">
        <v>16494</v>
      </c>
      <c r="L752">
        <v>4</v>
      </c>
    </row>
    <row r="753" spans="1:12" x14ac:dyDescent="0.3">
      <c r="A753">
        <v>1752</v>
      </c>
      <c r="B753" s="1">
        <v>45075</v>
      </c>
      <c r="C753">
        <v>2023</v>
      </c>
      <c r="D753" t="s">
        <v>18</v>
      </c>
      <c r="E753" t="s">
        <v>24</v>
      </c>
      <c r="F753" t="s">
        <v>25</v>
      </c>
      <c r="G753" t="s">
        <v>29</v>
      </c>
      <c r="H753" t="s">
        <v>16</v>
      </c>
      <c r="I753" t="s">
        <v>17</v>
      </c>
      <c r="J753">
        <v>54000</v>
      </c>
      <c r="K753">
        <v>45021</v>
      </c>
      <c r="L753">
        <v>5</v>
      </c>
    </row>
    <row r="754" spans="1:12" x14ac:dyDescent="0.3">
      <c r="A754">
        <v>1753</v>
      </c>
      <c r="B754" s="1">
        <v>45371</v>
      </c>
      <c r="C754">
        <v>2024</v>
      </c>
      <c r="D754" t="s">
        <v>49</v>
      </c>
      <c r="E754" t="s">
        <v>24</v>
      </c>
      <c r="F754" t="s">
        <v>32</v>
      </c>
      <c r="G754" t="s">
        <v>33</v>
      </c>
      <c r="H754" t="s">
        <v>34</v>
      </c>
      <c r="I754" t="s">
        <v>23</v>
      </c>
      <c r="J754">
        <v>15096</v>
      </c>
      <c r="K754">
        <v>9500</v>
      </c>
      <c r="L754">
        <v>1</v>
      </c>
    </row>
    <row r="755" spans="1:12" x14ac:dyDescent="0.3">
      <c r="A755">
        <v>1754</v>
      </c>
      <c r="B755" s="1">
        <v>45223</v>
      </c>
      <c r="C755">
        <v>2023</v>
      </c>
      <c r="D755" t="s">
        <v>12</v>
      </c>
      <c r="E755" t="s">
        <v>19</v>
      </c>
      <c r="F755" t="s">
        <v>40</v>
      </c>
      <c r="G755" t="s">
        <v>40</v>
      </c>
      <c r="H755" t="s">
        <v>22</v>
      </c>
      <c r="I755" t="s">
        <v>23</v>
      </c>
      <c r="J755">
        <v>3649</v>
      </c>
      <c r="K755">
        <v>2691</v>
      </c>
      <c r="L755">
        <v>4</v>
      </c>
    </row>
    <row r="756" spans="1:12" x14ac:dyDescent="0.3">
      <c r="A756">
        <v>1755</v>
      </c>
      <c r="B756" s="1">
        <v>45430</v>
      </c>
      <c r="C756">
        <v>2024</v>
      </c>
      <c r="D756" t="s">
        <v>18</v>
      </c>
      <c r="E756" t="s">
        <v>13</v>
      </c>
      <c r="F756" t="s">
        <v>36</v>
      </c>
      <c r="G756" t="s">
        <v>37</v>
      </c>
      <c r="H756" t="s">
        <v>22</v>
      </c>
      <c r="I756" t="s">
        <v>23</v>
      </c>
      <c r="J756">
        <v>5226</v>
      </c>
      <c r="K756">
        <v>3173</v>
      </c>
      <c r="L756">
        <v>3</v>
      </c>
    </row>
    <row r="757" spans="1:12" x14ac:dyDescent="0.3">
      <c r="A757">
        <v>1756</v>
      </c>
      <c r="B757" s="1">
        <v>45393</v>
      </c>
      <c r="C757">
        <v>2024</v>
      </c>
      <c r="D757" t="s">
        <v>38</v>
      </c>
      <c r="E757" t="s">
        <v>13</v>
      </c>
      <c r="F757" t="s">
        <v>14</v>
      </c>
      <c r="G757" t="s">
        <v>15</v>
      </c>
      <c r="H757" t="s">
        <v>16</v>
      </c>
      <c r="I757" t="s">
        <v>17</v>
      </c>
      <c r="J757">
        <v>69876</v>
      </c>
      <c r="K757">
        <v>47697</v>
      </c>
      <c r="L757">
        <v>5</v>
      </c>
    </row>
    <row r="758" spans="1:12" x14ac:dyDescent="0.3">
      <c r="A758">
        <v>1757</v>
      </c>
      <c r="B758" s="1">
        <v>45148</v>
      </c>
      <c r="C758">
        <v>2023</v>
      </c>
      <c r="D758" t="s">
        <v>48</v>
      </c>
      <c r="E758" t="s">
        <v>13</v>
      </c>
      <c r="F758" t="s">
        <v>36</v>
      </c>
      <c r="G758" t="s">
        <v>37</v>
      </c>
      <c r="H758" t="s">
        <v>34</v>
      </c>
      <c r="I758" t="s">
        <v>23</v>
      </c>
      <c r="J758">
        <v>38654</v>
      </c>
      <c r="K758">
        <v>24300</v>
      </c>
      <c r="L758">
        <v>2</v>
      </c>
    </row>
    <row r="759" spans="1:12" x14ac:dyDescent="0.3">
      <c r="A759">
        <v>1758</v>
      </c>
      <c r="B759" s="1">
        <v>44952</v>
      </c>
      <c r="C759">
        <v>2023</v>
      </c>
      <c r="D759" t="s">
        <v>35</v>
      </c>
      <c r="E759" t="s">
        <v>19</v>
      </c>
      <c r="F759" t="s">
        <v>40</v>
      </c>
      <c r="G759" t="s">
        <v>40</v>
      </c>
      <c r="H759" t="s">
        <v>16</v>
      </c>
      <c r="I759" t="s">
        <v>17</v>
      </c>
      <c r="J759">
        <v>56119</v>
      </c>
      <c r="K759">
        <v>46435</v>
      </c>
      <c r="L759">
        <v>2</v>
      </c>
    </row>
    <row r="760" spans="1:12" x14ac:dyDescent="0.3">
      <c r="A760">
        <v>1759</v>
      </c>
      <c r="B760" s="1">
        <v>44932</v>
      </c>
      <c r="C760">
        <v>2023</v>
      </c>
      <c r="D760" t="s">
        <v>35</v>
      </c>
      <c r="E760" t="s">
        <v>13</v>
      </c>
      <c r="F760" t="s">
        <v>36</v>
      </c>
      <c r="G760" t="s">
        <v>37</v>
      </c>
      <c r="H760" t="s">
        <v>41</v>
      </c>
      <c r="I760" t="s">
        <v>23</v>
      </c>
      <c r="J760">
        <v>12485</v>
      </c>
      <c r="K760">
        <v>8883</v>
      </c>
      <c r="L760">
        <v>1</v>
      </c>
    </row>
    <row r="761" spans="1:12" x14ac:dyDescent="0.3">
      <c r="A761">
        <v>1760</v>
      </c>
      <c r="B761" s="1">
        <v>44932</v>
      </c>
      <c r="C761">
        <v>2023</v>
      </c>
      <c r="D761" t="s">
        <v>35</v>
      </c>
      <c r="E761" t="s">
        <v>13</v>
      </c>
      <c r="F761" t="s">
        <v>43</v>
      </c>
      <c r="G761" t="s">
        <v>44</v>
      </c>
      <c r="H761" t="s">
        <v>34</v>
      </c>
      <c r="I761" t="s">
        <v>23</v>
      </c>
      <c r="J761">
        <v>34557</v>
      </c>
      <c r="K761">
        <v>26530</v>
      </c>
      <c r="L761">
        <v>1</v>
      </c>
    </row>
    <row r="762" spans="1:12" x14ac:dyDescent="0.3">
      <c r="A762">
        <v>1761</v>
      </c>
      <c r="B762" s="1">
        <v>45111</v>
      </c>
      <c r="C762">
        <v>2023</v>
      </c>
      <c r="D762" t="s">
        <v>28</v>
      </c>
      <c r="E762" t="s">
        <v>13</v>
      </c>
      <c r="F762" t="s">
        <v>14</v>
      </c>
      <c r="G762" t="s">
        <v>15</v>
      </c>
      <c r="H762" t="s">
        <v>34</v>
      </c>
      <c r="I762" t="s">
        <v>23</v>
      </c>
      <c r="J762">
        <v>28347</v>
      </c>
      <c r="K762">
        <v>22496</v>
      </c>
      <c r="L762">
        <v>3</v>
      </c>
    </row>
    <row r="763" spans="1:12" x14ac:dyDescent="0.3">
      <c r="A763">
        <v>1762</v>
      </c>
      <c r="B763" s="1">
        <v>45244</v>
      </c>
      <c r="C763">
        <v>2023</v>
      </c>
      <c r="D763" t="s">
        <v>39</v>
      </c>
      <c r="E763" t="s">
        <v>13</v>
      </c>
      <c r="F763" t="s">
        <v>43</v>
      </c>
      <c r="G763" t="s">
        <v>44</v>
      </c>
      <c r="H763" t="s">
        <v>22</v>
      </c>
      <c r="I763" t="s">
        <v>23</v>
      </c>
      <c r="J763">
        <v>8834</v>
      </c>
      <c r="K763">
        <v>6566</v>
      </c>
      <c r="L763">
        <v>2</v>
      </c>
    </row>
    <row r="764" spans="1:12" x14ac:dyDescent="0.3">
      <c r="A764">
        <v>1763</v>
      </c>
      <c r="B764" s="1">
        <v>45137</v>
      </c>
      <c r="C764">
        <v>2023</v>
      </c>
      <c r="D764" t="s">
        <v>28</v>
      </c>
      <c r="E764" t="s">
        <v>13</v>
      </c>
      <c r="F764" t="s">
        <v>43</v>
      </c>
      <c r="G764" t="s">
        <v>44</v>
      </c>
      <c r="H764" t="s">
        <v>30</v>
      </c>
      <c r="I764" t="s">
        <v>23</v>
      </c>
      <c r="J764">
        <v>5080</v>
      </c>
      <c r="K764">
        <v>3760</v>
      </c>
      <c r="L764">
        <v>2</v>
      </c>
    </row>
    <row r="765" spans="1:12" x14ac:dyDescent="0.3">
      <c r="A765">
        <v>1764</v>
      </c>
      <c r="B765" s="1">
        <v>45278</v>
      </c>
      <c r="C765">
        <v>2023</v>
      </c>
      <c r="D765" t="s">
        <v>47</v>
      </c>
      <c r="E765" t="s">
        <v>19</v>
      </c>
      <c r="F765" t="s">
        <v>20</v>
      </c>
      <c r="G765" t="s">
        <v>21</v>
      </c>
      <c r="H765" t="s">
        <v>30</v>
      </c>
      <c r="I765" t="s">
        <v>23</v>
      </c>
      <c r="J765">
        <v>8280</v>
      </c>
      <c r="K765">
        <v>6717</v>
      </c>
      <c r="L765">
        <v>3</v>
      </c>
    </row>
    <row r="766" spans="1:12" x14ac:dyDescent="0.3">
      <c r="A766">
        <v>1765</v>
      </c>
      <c r="B766" s="1">
        <v>45096</v>
      </c>
      <c r="C766">
        <v>2023</v>
      </c>
      <c r="D766" t="s">
        <v>31</v>
      </c>
      <c r="E766" t="s">
        <v>24</v>
      </c>
      <c r="F766" t="s">
        <v>25</v>
      </c>
      <c r="G766" t="s">
        <v>29</v>
      </c>
      <c r="H766" t="s">
        <v>41</v>
      </c>
      <c r="I766" t="s">
        <v>23</v>
      </c>
      <c r="J766">
        <v>9864</v>
      </c>
      <c r="K766">
        <v>6294</v>
      </c>
      <c r="L766">
        <v>3</v>
      </c>
    </row>
    <row r="767" spans="1:12" x14ac:dyDescent="0.3">
      <c r="A767">
        <v>1766</v>
      </c>
      <c r="B767" s="1">
        <v>45393</v>
      </c>
      <c r="C767">
        <v>2024</v>
      </c>
      <c r="D767" t="s">
        <v>38</v>
      </c>
      <c r="E767" t="s">
        <v>24</v>
      </c>
      <c r="F767" t="s">
        <v>25</v>
      </c>
      <c r="G767" t="s">
        <v>26</v>
      </c>
      <c r="H767" t="s">
        <v>16</v>
      </c>
      <c r="I767" t="s">
        <v>17</v>
      </c>
      <c r="J767">
        <v>59791</v>
      </c>
      <c r="K767">
        <v>47053</v>
      </c>
      <c r="L767">
        <v>1</v>
      </c>
    </row>
    <row r="768" spans="1:12" x14ac:dyDescent="0.3">
      <c r="A768">
        <v>1767</v>
      </c>
      <c r="B768" s="1">
        <v>45177</v>
      </c>
      <c r="C768">
        <v>2023</v>
      </c>
      <c r="D768" t="s">
        <v>42</v>
      </c>
      <c r="E768" t="s">
        <v>19</v>
      </c>
      <c r="F768" t="s">
        <v>20</v>
      </c>
      <c r="G768" t="s">
        <v>21</v>
      </c>
      <c r="H768" t="s">
        <v>41</v>
      </c>
      <c r="I768" t="s">
        <v>23</v>
      </c>
      <c r="J768">
        <v>18658</v>
      </c>
      <c r="K768">
        <v>15294</v>
      </c>
      <c r="L768">
        <v>1</v>
      </c>
    </row>
    <row r="769" spans="1:12" x14ac:dyDescent="0.3">
      <c r="A769">
        <v>1768</v>
      </c>
      <c r="B769" s="1">
        <v>45492</v>
      </c>
      <c r="C769">
        <v>2024</v>
      </c>
      <c r="D769" t="s">
        <v>28</v>
      </c>
      <c r="E769" t="s">
        <v>19</v>
      </c>
      <c r="F769" t="s">
        <v>20</v>
      </c>
      <c r="G769" t="s">
        <v>21</v>
      </c>
      <c r="H769" t="s">
        <v>22</v>
      </c>
      <c r="I769" t="s">
        <v>23</v>
      </c>
      <c r="J769">
        <v>7195</v>
      </c>
      <c r="K769">
        <v>4561</v>
      </c>
      <c r="L769">
        <v>3</v>
      </c>
    </row>
    <row r="770" spans="1:12" x14ac:dyDescent="0.3">
      <c r="A770">
        <v>1769</v>
      </c>
      <c r="B770" s="1">
        <v>44961</v>
      </c>
      <c r="C770">
        <v>2023</v>
      </c>
      <c r="D770" t="s">
        <v>45</v>
      </c>
      <c r="E770" t="s">
        <v>19</v>
      </c>
      <c r="F770" t="s">
        <v>20</v>
      </c>
      <c r="G770" t="s">
        <v>21</v>
      </c>
      <c r="H770" t="s">
        <v>27</v>
      </c>
      <c r="I770" t="s">
        <v>17</v>
      </c>
      <c r="J770">
        <v>33707</v>
      </c>
      <c r="K770">
        <v>28354</v>
      </c>
      <c r="L770">
        <v>4</v>
      </c>
    </row>
    <row r="771" spans="1:12" x14ac:dyDescent="0.3">
      <c r="A771">
        <v>1770</v>
      </c>
      <c r="B771" s="1">
        <v>45575</v>
      </c>
      <c r="C771">
        <v>2024</v>
      </c>
      <c r="D771" t="s">
        <v>12</v>
      </c>
      <c r="E771" t="s">
        <v>24</v>
      </c>
      <c r="F771" t="s">
        <v>25</v>
      </c>
      <c r="G771" t="s">
        <v>26</v>
      </c>
      <c r="H771" t="s">
        <v>22</v>
      </c>
      <c r="I771" t="s">
        <v>23</v>
      </c>
      <c r="J771">
        <v>6194</v>
      </c>
      <c r="K771">
        <v>4887</v>
      </c>
      <c r="L771">
        <v>1</v>
      </c>
    </row>
    <row r="772" spans="1:12" x14ac:dyDescent="0.3">
      <c r="A772">
        <v>1771</v>
      </c>
      <c r="B772" s="1">
        <v>45103</v>
      </c>
      <c r="C772">
        <v>2023</v>
      </c>
      <c r="D772" t="s">
        <v>31</v>
      </c>
      <c r="E772" t="s">
        <v>13</v>
      </c>
      <c r="F772" t="s">
        <v>14</v>
      </c>
      <c r="G772" t="s">
        <v>15</v>
      </c>
      <c r="H772" t="s">
        <v>30</v>
      </c>
      <c r="I772" t="s">
        <v>23</v>
      </c>
      <c r="J772">
        <v>10827</v>
      </c>
      <c r="K772">
        <v>8575</v>
      </c>
      <c r="L772">
        <v>3</v>
      </c>
    </row>
    <row r="773" spans="1:12" x14ac:dyDescent="0.3">
      <c r="A773">
        <v>1772</v>
      </c>
      <c r="B773" s="1">
        <v>45024</v>
      </c>
      <c r="C773">
        <v>2023</v>
      </c>
      <c r="D773" t="s">
        <v>38</v>
      </c>
      <c r="E773" t="s">
        <v>24</v>
      </c>
      <c r="F773" t="s">
        <v>32</v>
      </c>
      <c r="G773" t="s">
        <v>33</v>
      </c>
      <c r="H773" t="s">
        <v>41</v>
      </c>
      <c r="I773" t="s">
        <v>23</v>
      </c>
      <c r="J773">
        <v>13886</v>
      </c>
      <c r="K773">
        <v>8996</v>
      </c>
      <c r="L773">
        <v>3</v>
      </c>
    </row>
    <row r="774" spans="1:12" x14ac:dyDescent="0.3">
      <c r="A774">
        <v>1773</v>
      </c>
      <c r="B774" s="1">
        <v>45466</v>
      </c>
      <c r="C774">
        <v>2024</v>
      </c>
      <c r="D774" t="s">
        <v>31</v>
      </c>
      <c r="E774" t="s">
        <v>24</v>
      </c>
      <c r="F774" t="s">
        <v>32</v>
      </c>
      <c r="G774" t="s">
        <v>33</v>
      </c>
      <c r="H774" t="s">
        <v>30</v>
      </c>
      <c r="I774" t="s">
        <v>23</v>
      </c>
      <c r="J774">
        <v>13187</v>
      </c>
      <c r="K774">
        <v>10027</v>
      </c>
      <c r="L774">
        <v>1</v>
      </c>
    </row>
    <row r="775" spans="1:12" x14ac:dyDescent="0.3">
      <c r="A775">
        <v>1774</v>
      </c>
      <c r="B775" s="1">
        <v>45254</v>
      </c>
      <c r="C775">
        <v>2023</v>
      </c>
      <c r="D775" t="s">
        <v>39</v>
      </c>
      <c r="E775" t="s">
        <v>24</v>
      </c>
      <c r="F775" t="s">
        <v>32</v>
      </c>
      <c r="G775" t="s">
        <v>33</v>
      </c>
      <c r="H775" t="s">
        <v>22</v>
      </c>
      <c r="I775" t="s">
        <v>23</v>
      </c>
      <c r="J775">
        <v>6452</v>
      </c>
      <c r="K775">
        <v>5146</v>
      </c>
      <c r="L775">
        <v>1</v>
      </c>
    </row>
    <row r="776" spans="1:12" x14ac:dyDescent="0.3">
      <c r="A776">
        <v>1775</v>
      </c>
      <c r="B776" s="1">
        <v>45140</v>
      </c>
      <c r="C776">
        <v>2023</v>
      </c>
      <c r="D776" t="s">
        <v>48</v>
      </c>
      <c r="E776" t="s">
        <v>24</v>
      </c>
      <c r="F776" t="s">
        <v>25</v>
      </c>
      <c r="G776" t="s">
        <v>29</v>
      </c>
      <c r="H776" t="s">
        <v>41</v>
      </c>
      <c r="I776" t="s">
        <v>23</v>
      </c>
      <c r="J776">
        <v>16531</v>
      </c>
      <c r="K776">
        <v>13303</v>
      </c>
      <c r="L776">
        <v>5</v>
      </c>
    </row>
    <row r="777" spans="1:12" x14ac:dyDescent="0.3">
      <c r="A777">
        <v>1776</v>
      </c>
      <c r="B777" s="1">
        <v>45008</v>
      </c>
      <c r="C777">
        <v>2023</v>
      </c>
      <c r="D777" t="s">
        <v>49</v>
      </c>
      <c r="E777" t="s">
        <v>13</v>
      </c>
      <c r="F777" t="s">
        <v>14</v>
      </c>
      <c r="G777" t="s">
        <v>15</v>
      </c>
      <c r="H777" t="s">
        <v>22</v>
      </c>
      <c r="I777" t="s">
        <v>23</v>
      </c>
      <c r="J777">
        <v>3602</v>
      </c>
      <c r="K777">
        <v>2414</v>
      </c>
      <c r="L777">
        <v>5</v>
      </c>
    </row>
    <row r="778" spans="1:12" x14ac:dyDescent="0.3">
      <c r="A778">
        <v>1777</v>
      </c>
      <c r="B778" s="1">
        <v>45407</v>
      </c>
      <c r="C778">
        <v>2024</v>
      </c>
      <c r="D778" t="s">
        <v>38</v>
      </c>
      <c r="E778" t="s">
        <v>24</v>
      </c>
      <c r="F778" t="s">
        <v>32</v>
      </c>
      <c r="G778" t="s">
        <v>33</v>
      </c>
      <c r="H778" t="s">
        <v>46</v>
      </c>
      <c r="I778" t="s">
        <v>17</v>
      </c>
      <c r="J778">
        <v>17149</v>
      </c>
      <c r="K778">
        <v>10705</v>
      </c>
      <c r="L778">
        <v>3</v>
      </c>
    </row>
    <row r="779" spans="1:12" x14ac:dyDescent="0.3">
      <c r="A779">
        <v>1778</v>
      </c>
      <c r="B779" s="1">
        <v>45171</v>
      </c>
      <c r="C779">
        <v>2023</v>
      </c>
      <c r="D779" t="s">
        <v>42</v>
      </c>
      <c r="E779" t="s">
        <v>24</v>
      </c>
      <c r="F779" t="s">
        <v>25</v>
      </c>
      <c r="G779" t="s">
        <v>29</v>
      </c>
      <c r="H779" t="s">
        <v>46</v>
      </c>
      <c r="I779" t="s">
        <v>17</v>
      </c>
      <c r="J779">
        <v>26364</v>
      </c>
      <c r="K779">
        <v>20674</v>
      </c>
      <c r="L779">
        <v>5</v>
      </c>
    </row>
    <row r="780" spans="1:12" x14ac:dyDescent="0.3">
      <c r="A780">
        <v>1779</v>
      </c>
      <c r="B780" s="1">
        <v>45320</v>
      </c>
      <c r="C780">
        <v>2024</v>
      </c>
      <c r="D780" t="s">
        <v>35</v>
      </c>
      <c r="E780" t="s">
        <v>24</v>
      </c>
      <c r="F780" t="s">
        <v>32</v>
      </c>
      <c r="G780" t="s">
        <v>33</v>
      </c>
      <c r="H780" t="s">
        <v>16</v>
      </c>
      <c r="I780" t="s">
        <v>17</v>
      </c>
      <c r="J780">
        <v>59972</v>
      </c>
      <c r="K780">
        <v>41449</v>
      </c>
      <c r="L780">
        <v>2</v>
      </c>
    </row>
    <row r="781" spans="1:12" x14ac:dyDescent="0.3">
      <c r="A781">
        <v>1780</v>
      </c>
      <c r="B781" s="1">
        <v>45391</v>
      </c>
      <c r="C781">
        <v>2024</v>
      </c>
      <c r="D781" t="s">
        <v>38</v>
      </c>
      <c r="E781" t="s">
        <v>24</v>
      </c>
      <c r="F781" t="s">
        <v>32</v>
      </c>
      <c r="G781" t="s">
        <v>33</v>
      </c>
      <c r="H781" t="s">
        <v>41</v>
      </c>
      <c r="I781" t="s">
        <v>23</v>
      </c>
      <c r="J781">
        <v>15288</v>
      </c>
      <c r="K781">
        <v>11110</v>
      </c>
      <c r="L781">
        <v>3</v>
      </c>
    </row>
    <row r="782" spans="1:12" x14ac:dyDescent="0.3">
      <c r="A782">
        <v>1781</v>
      </c>
      <c r="B782" s="1">
        <v>45565</v>
      </c>
      <c r="C782">
        <v>2024</v>
      </c>
      <c r="D782" t="s">
        <v>42</v>
      </c>
      <c r="E782" t="s">
        <v>19</v>
      </c>
      <c r="F782" t="s">
        <v>40</v>
      </c>
      <c r="G782" t="s">
        <v>40</v>
      </c>
      <c r="H782" t="s">
        <v>46</v>
      </c>
      <c r="I782" t="s">
        <v>17</v>
      </c>
      <c r="J782">
        <v>20165</v>
      </c>
      <c r="K782">
        <v>15741</v>
      </c>
      <c r="L782">
        <v>2</v>
      </c>
    </row>
    <row r="783" spans="1:12" x14ac:dyDescent="0.3">
      <c r="A783">
        <v>1782</v>
      </c>
      <c r="B783" s="1">
        <v>45333</v>
      </c>
      <c r="C783">
        <v>2024</v>
      </c>
      <c r="D783" t="s">
        <v>45</v>
      </c>
      <c r="E783" t="s">
        <v>19</v>
      </c>
      <c r="F783" t="s">
        <v>40</v>
      </c>
      <c r="G783" t="s">
        <v>40</v>
      </c>
      <c r="H783" t="s">
        <v>30</v>
      </c>
      <c r="I783" t="s">
        <v>23</v>
      </c>
      <c r="J783">
        <v>13375</v>
      </c>
      <c r="K783">
        <v>9647</v>
      </c>
      <c r="L783">
        <v>2</v>
      </c>
    </row>
    <row r="784" spans="1:12" x14ac:dyDescent="0.3">
      <c r="A784">
        <v>1783</v>
      </c>
      <c r="B784" s="1">
        <v>45541</v>
      </c>
      <c r="C784">
        <v>2024</v>
      </c>
      <c r="D784" t="s">
        <v>42</v>
      </c>
      <c r="E784" t="s">
        <v>24</v>
      </c>
      <c r="F784" t="s">
        <v>32</v>
      </c>
      <c r="G784" t="s">
        <v>33</v>
      </c>
      <c r="H784" t="s">
        <v>41</v>
      </c>
      <c r="I784" t="s">
        <v>23</v>
      </c>
      <c r="J784">
        <v>16538</v>
      </c>
      <c r="K784">
        <v>11149</v>
      </c>
      <c r="L784">
        <v>3</v>
      </c>
    </row>
    <row r="785" spans="1:12" x14ac:dyDescent="0.3">
      <c r="A785">
        <v>1784</v>
      </c>
      <c r="B785" s="1">
        <v>44939</v>
      </c>
      <c r="C785">
        <v>2023</v>
      </c>
      <c r="D785" t="s">
        <v>35</v>
      </c>
      <c r="E785" t="s">
        <v>19</v>
      </c>
      <c r="F785" t="s">
        <v>40</v>
      </c>
      <c r="G785" t="s">
        <v>40</v>
      </c>
      <c r="H785" t="s">
        <v>16</v>
      </c>
      <c r="I785" t="s">
        <v>17</v>
      </c>
      <c r="J785">
        <v>49489</v>
      </c>
      <c r="K785">
        <v>32222</v>
      </c>
      <c r="L785">
        <v>3</v>
      </c>
    </row>
    <row r="786" spans="1:12" x14ac:dyDescent="0.3">
      <c r="A786">
        <v>1785</v>
      </c>
      <c r="B786" s="1">
        <v>45642</v>
      </c>
      <c r="C786">
        <v>2024</v>
      </c>
      <c r="D786" t="s">
        <v>47</v>
      </c>
      <c r="E786" t="s">
        <v>13</v>
      </c>
      <c r="F786" t="s">
        <v>36</v>
      </c>
      <c r="G786" t="s">
        <v>37</v>
      </c>
      <c r="H786" t="s">
        <v>16</v>
      </c>
      <c r="I786" t="s">
        <v>17</v>
      </c>
      <c r="J786">
        <v>40559</v>
      </c>
      <c r="K786">
        <v>24450</v>
      </c>
      <c r="L786">
        <v>1</v>
      </c>
    </row>
    <row r="787" spans="1:12" x14ac:dyDescent="0.3">
      <c r="A787">
        <v>1786</v>
      </c>
      <c r="B787" s="1">
        <v>45529</v>
      </c>
      <c r="C787">
        <v>2024</v>
      </c>
      <c r="D787" t="s">
        <v>48</v>
      </c>
      <c r="E787" t="s">
        <v>24</v>
      </c>
      <c r="F787" t="s">
        <v>25</v>
      </c>
      <c r="G787" t="s">
        <v>29</v>
      </c>
      <c r="H787" t="s">
        <v>27</v>
      </c>
      <c r="I787" t="s">
        <v>17</v>
      </c>
      <c r="J787">
        <v>26620</v>
      </c>
      <c r="K787">
        <v>20451</v>
      </c>
      <c r="L787">
        <v>3</v>
      </c>
    </row>
    <row r="788" spans="1:12" x14ac:dyDescent="0.3">
      <c r="A788">
        <v>1787</v>
      </c>
      <c r="B788" s="1">
        <v>45555</v>
      </c>
      <c r="C788">
        <v>2024</v>
      </c>
      <c r="D788" t="s">
        <v>42</v>
      </c>
      <c r="E788" t="s">
        <v>24</v>
      </c>
      <c r="F788" t="s">
        <v>25</v>
      </c>
      <c r="G788" t="s">
        <v>26</v>
      </c>
      <c r="H788" t="s">
        <v>16</v>
      </c>
      <c r="I788" t="s">
        <v>17</v>
      </c>
      <c r="J788">
        <v>49435</v>
      </c>
      <c r="K788">
        <v>39957</v>
      </c>
      <c r="L788">
        <v>5</v>
      </c>
    </row>
    <row r="789" spans="1:12" x14ac:dyDescent="0.3">
      <c r="A789">
        <v>1788</v>
      </c>
      <c r="B789" s="1">
        <v>45160</v>
      </c>
      <c r="C789">
        <v>2023</v>
      </c>
      <c r="D789" t="s">
        <v>48</v>
      </c>
      <c r="E789" t="s">
        <v>24</v>
      </c>
      <c r="F789" t="s">
        <v>25</v>
      </c>
      <c r="G789" t="s">
        <v>29</v>
      </c>
      <c r="H789" t="s">
        <v>30</v>
      </c>
      <c r="I789" t="s">
        <v>23</v>
      </c>
      <c r="J789">
        <v>13519</v>
      </c>
      <c r="K789">
        <v>9023</v>
      </c>
      <c r="L789">
        <v>1</v>
      </c>
    </row>
    <row r="790" spans="1:12" x14ac:dyDescent="0.3">
      <c r="A790">
        <v>1789</v>
      </c>
      <c r="B790" s="1">
        <v>45431</v>
      </c>
      <c r="C790">
        <v>2024</v>
      </c>
      <c r="D790" t="s">
        <v>18</v>
      </c>
      <c r="E790" t="s">
        <v>19</v>
      </c>
      <c r="F790" t="s">
        <v>40</v>
      </c>
      <c r="G790" t="s">
        <v>40</v>
      </c>
      <c r="H790" t="s">
        <v>27</v>
      </c>
      <c r="I790" t="s">
        <v>17</v>
      </c>
      <c r="J790">
        <v>33137</v>
      </c>
      <c r="K790">
        <v>22424</v>
      </c>
      <c r="L790">
        <v>5</v>
      </c>
    </row>
    <row r="791" spans="1:12" x14ac:dyDescent="0.3">
      <c r="A791">
        <v>1790</v>
      </c>
      <c r="B791" s="1">
        <v>45237</v>
      </c>
      <c r="C791">
        <v>2023</v>
      </c>
      <c r="D791" t="s">
        <v>39</v>
      </c>
      <c r="E791" t="s">
        <v>24</v>
      </c>
      <c r="F791" t="s">
        <v>25</v>
      </c>
      <c r="G791" t="s">
        <v>29</v>
      </c>
      <c r="H791" t="s">
        <v>27</v>
      </c>
      <c r="I791" t="s">
        <v>17</v>
      </c>
      <c r="J791">
        <v>30677</v>
      </c>
      <c r="K791">
        <v>20382</v>
      </c>
      <c r="L791">
        <v>2</v>
      </c>
    </row>
    <row r="792" spans="1:12" x14ac:dyDescent="0.3">
      <c r="A792">
        <v>1791</v>
      </c>
      <c r="B792" s="1">
        <v>45621</v>
      </c>
      <c r="C792">
        <v>2024</v>
      </c>
      <c r="D792" t="s">
        <v>39</v>
      </c>
      <c r="E792" t="s">
        <v>13</v>
      </c>
      <c r="F792" t="s">
        <v>36</v>
      </c>
      <c r="G792" t="s">
        <v>37</v>
      </c>
      <c r="H792" t="s">
        <v>41</v>
      </c>
      <c r="I792" t="s">
        <v>23</v>
      </c>
      <c r="J792">
        <v>17429</v>
      </c>
      <c r="K792">
        <v>14690</v>
      </c>
      <c r="L792">
        <v>3</v>
      </c>
    </row>
    <row r="793" spans="1:12" x14ac:dyDescent="0.3">
      <c r="A793">
        <v>1792</v>
      </c>
      <c r="B793" s="1">
        <v>45066</v>
      </c>
      <c r="C793">
        <v>2023</v>
      </c>
      <c r="D793" t="s">
        <v>18</v>
      </c>
      <c r="E793" t="s">
        <v>19</v>
      </c>
      <c r="F793" t="s">
        <v>40</v>
      </c>
      <c r="G793" t="s">
        <v>40</v>
      </c>
      <c r="H793" t="s">
        <v>16</v>
      </c>
      <c r="I793" t="s">
        <v>17</v>
      </c>
      <c r="J793">
        <v>63000</v>
      </c>
      <c r="K793">
        <v>39216</v>
      </c>
      <c r="L793">
        <v>5</v>
      </c>
    </row>
    <row r="794" spans="1:12" x14ac:dyDescent="0.3">
      <c r="A794">
        <v>1793</v>
      </c>
      <c r="B794" s="1">
        <v>44966</v>
      </c>
      <c r="C794">
        <v>2023</v>
      </c>
      <c r="D794" t="s">
        <v>45</v>
      </c>
      <c r="E794" t="s">
        <v>24</v>
      </c>
      <c r="F794" t="s">
        <v>25</v>
      </c>
      <c r="G794" t="s">
        <v>26</v>
      </c>
      <c r="H794" t="s">
        <v>46</v>
      </c>
      <c r="I794" t="s">
        <v>17</v>
      </c>
      <c r="J794">
        <v>18086</v>
      </c>
      <c r="K794">
        <v>14873</v>
      </c>
      <c r="L794">
        <v>2</v>
      </c>
    </row>
    <row r="795" spans="1:12" x14ac:dyDescent="0.3">
      <c r="A795">
        <v>1794</v>
      </c>
      <c r="B795" s="1">
        <v>45489</v>
      </c>
      <c r="C795">
        <v>2024</v>
      </c>
      <c r="D795" t="s">
        <v>28</v>
      </c>
      <c r="E795" t="s">
        <v>19</v>
      </c>
      <c r="F795" t="s">
        <v>20</v>
      </c>
      <c r="G795" t="s">
        <v>21</v>
      </c>
      <c r="H795" t="s">
        <v>22</v>
      </c>
      <c r="I795" t="s">
        <v>23</v>
      </c>
      <c r="J795">
        <v>7722</v>
      </c>
      <c r="K795">
        <v>5316</v>
      </c>
      <c r="L795">
        <v>5</v>
      </c>
    </row>
    <row r="796" spans="1:12" x14ac:dyDescent="0.3">
      <c r="A796">
        <v>1795</v>
      </c>
      <c r="B796" s="1">
        <v>45242</v>
      </c>
      <c r="C796">
        <v>2023</v>
      </c>
      <c r="D796" t="s">
        <v>39</v>
      </c>
      <c r="E796" t="s">
        <v>13</v>
      </c>
      <c r="F796" t="s">
        <v>36</v>
      </c>
      <c r="G796" t="s">
        <v>37</v>
      </c>
      <c r="H796" t="s">
        <v>16</v>
      </c>
      <c r="I796" t="s">
        <v>17</v>
      </c>
      <c r="J796">
        <v>40139</v>
      </c>
      <c r="K796">
        <v>26802</v>
      </c>
      <c r="L796">
        <v>4</v>
      </c>
    </row>
    <row r="797" spans="1:12" x14ac:dyDescent="0.3">
      <c r="A797">
        <v>1796</v>
      </c>
      <c r="B797" s="1">
        <v>45528</v>
      </c>
      <c r="C797">
        <v>2024</v>
      </c>
      <c r="D797" t="s">
        <v>48</v>
      </c>
      <c r="E797" t="s">
        <v>19</v>
      </c>
      <c r="F797" t="s">
        <v>20</v>
      </c>
      <c r="G797" t="s">
        <v>21</v>
      </c>
      <c r="H797" t="s">
        <v>16</v>
      </c>
      <c r="I797" t="s">
        <v>17</v>
      </c>
      <c r="J797">
        <v>57067</v>
      </c>
      <c r="K797">
        <v>36348</v>
      </c>
      <c r="L797">
        <v>2</v>
      </c>
    </row>
    <row r="798" spans="1:12" x14ac:dyDescent="0.3">
      <c r="A798">
        <v>1797</v>
      </c>
      <c r="B798" s="1">
        <v>45436</v>
      </c>
      <c r="C798">
        <v>2024</v>
      </c>
      <c r="D798" t="s">
        <v>18</v>
      </c>
      <c r="E798" t="s">
        <v>24</v>
      </c>
      <c r="F798" t="s">
        <v>32</v>
      </c>
      <c r="G798" t="s">
        <v>33</v>
      </c>
      <c r="H798" t="s">
        <v>16</v>
      </c>
      <c r="I798" t="s">
        <v>17</v>
      </c>
      <c r="J798">
        <v>47175</v>
      </c>
      <c r="K798">
        <v>30886</v>
      </c>
      <c r="L798">
        <v>4</v>
      </c>
    </row>
    <row r="799" spans="1:12" x14ac:dyDescent="0.3">
      <c r="A799">
        <v>1798</v>
      </c>
      <c r="B799" s="1">
        <v>45275</v>
      </c>
      <c r="C799">
        <v>2023</v>
      </c>
      <c r="D799" t="s">
        <v>47</v>
      </c>
      <c r="E799" t="s">
        <v>24</v>
      </c>
      <c r="F799" t="s">
        <v>25</v>
      </c>
      <c r="G799" t="s">
        <v>29</v>
      </c>
      <c r="H799" t="s">
        <v>30</v>
      </c>
      <c r="I799" t="s">
        <v>23</v>
      </c>
      <c r="J799">
        <v>8524</v>
      </c>
      <c r="K799">
        <v>5552</v>
      </c>
      <c r="L799">
        <v>1</v>
      </c>
    </row>
    <row r="800" spans="1:12" x14ac:dyDescent="0.3">
      <c r="A800">
        <v>1799</v>
      </c>
      <c r="B800" s="1">
        <v>45109</v>
      </c>
      <c r="C800">
        <v>2023</v>
      </c>
      <c r="D800" t="s">
        <v>28</v>
      </c>
      <c r="E800" t="s">
        <v>24</v>
      </c>
      <c r="F800" t="s">
        <v>25</v>
      </c>
      <c r="G800" t="s">
        <v>26</v>
      </c>
      <c r="H800" t="s">
        <v>30</v>
      </c>
      <c r="I800" t="s">
        <v>23</v>
      </c>
      <c r="J800">
        <v>9785</v>
      </c>
      <c r="K800">
        <v>8103</v>
      </c>
      <c r="L800">
        <v>4</v>
      </c>
    </row>
    <row r="801" spans="1:12" x14ac:dyDescent="0.3">
      <c r="A801">
        <v>1800</v>
      </c>
      <c r="B801" s="1">
        <v>45127</v>
      </c>
      <c r="C801">
        <v>2023</v>
      </c>
      <c r="D801" t="s">
        <v>28</v>
      </c>
      <c r="E801" t="s">
        <v>24</v>
      </c>
      <c r="F801" t="s">
        <v>25</v>
      </c>
      <c r="G801" t="s">
        <v>26</v>
      </c>
      <c r="H801" t="s">
        <v>22</v>
      </c>
      <c r="I801" t="s">
        <v>23</v>
      </c>
      <c r="J801">
        <v>8481</v>
      </c>
      <c r="K801">
        <v>5602</v>
      </c>
      <c r="L801">
        <v>2</v>
      </c>
    </row>
    <row r="802" spans="1:12" x14ac:dyDescent="0.3">
      <c r="A802">
        <v>1801</v>
      </c>
      <c r="B802" s="1">
        <v>44979</v>
      </c>
      <c r="C802">
        <v>2023</v>
      </c>
      <c r="D802" t="s">
        <v>45</v>
      </c>
      <c r="E802" t="s">
        <v>13</v>
      </c>
      <c r="F802" t="s">
        <v>36</v>
      </c>
      <c r="G802" t="s">
        <v>37</v>
      </c>
      <c r="H802" t="s">
        <v>30</v>
      </c>
      <c r="I802" t="s">
        <v>23</v>
      </c>
      <c r="J802">
        <v>13199</v>
      </c>
      <c r="K802">
        <v>10057</v>
      </c>
      <c r="L802">
        <v>4</v>
      </c>
    </row>
    <row r="803" spans="1:12" x14ac:dyDescent="0.3">
      <c r="A803">
        <v>1802</v>
      </c>
      <c r="B803" s="1">
        <v>45546</v>
      </c>
      <c r="C803">
        <v>2024</v>
      </c>
      <c r="D803" t="s">
        <v>42</v>
      </c>
      <c r="E803" t="s">
        <v>13</v>
      </c>
      <c r="F803" t="s">
        <v>14</v>
      </c>
      <c r="G803" t="s">
        <v>15</v>
      </c>
      <c r="H803" t="s">
        <v>34</v>
      </c>
      <c r="I803" t="s">
        <v>23</v>
      </c>
      <c r="J803">
        <v>27834</v>
      </c>
      <c r="K803">
        <v>20619</v>
      </c>
      <c r="L803">
        <v>3</v>
      </c>
    </row>
    <row r="804" spans="1:12" x14ac:dyDescent="0.3">
      <c r="A804">
        <v>1803</v>
      </c>
      <c r="B804" s="1">
        <v>45192</v>
      </c>
      <c r="C804">
        <v>2023</v>
      </c>
      <c r="D804" t="s">
        <v>42</v>
      </c>
      <c r="E804" t="s">
        <v>13</v>
      </c>
      <c r="F804" t="s">
        <v>14</v>
      </c>
      <c r="G804" t="s">
        <v>15</v>
      </c>
      <c r="H804" t="s">
        <v>30</v>
      </c>
      <c r="I804" t="s">
        <v>23</v>
      </c>
      <c r="J804">
        <v>10798</v>
      </c>
      <c r="K804">
        <v>9141</v>
      </c>
      <c r="L804">
        <v>2</v>
      </c>
    </row>
    <row r="805" spans="1:12" x14ac:dyDescent="0.3">
      <c r="A805">
        <v>1804</v>
      </c>
      <c r="B805" s="1">
        <v>45456</v>
      </c>
      <c r="C805">
        <v>2024</v>
      </c>
      <c r="D805" t="s">
        <v>31</v>
      </c>
      <c r="E805" t="s">
        <v>19</v>
      </c>
      <c r="F805" t="s">
        <v>40</v>
      </c>
      <c r="G805" t="s">
        <v>40</v>
      </c>
      <c r="H805" t="s">
        <v>41</v>
      </c>
      <c r="I805" t="s">
        <v>23</v>
      </c>
      <c r="J805">
        <v>14134</v>
      </c>
      <c r="K805">
        <v>10318</v>
      </c>
      <c r="L805">
        <v>2</v>
      </c>
    </row>
    <row r="806" spans="1:12" x14ac:dyDescent="0.3">
      <c r="A806">
        <v>1805</v>
      </c>
      <c r="B806" s="1">
        <v>45057</v>
      </c>
      <c r="C806">
        <v>2023</v>
      </c>
      <c r="D806" t="s">
        <v>18</v>
      </c>
      <c r="E806" t="s">
        <v>19</v>
      </c>
      <c r="F806" t="s">
        <v>40</v>
      </c>
      <c r="G806" t="s">
        <v>40</v>
      </c>
      <c r="H806" t="s">
        <v>46</v>
      </c>
      <c r="I806" t="s">
        <v>17</v>
      </c>
      <c r="J806">
        <v>25597</v>
      </c>
      <c r="K806">
        <v>16996</v>
      </c>
      <c r="L806">
        <v>4</v>
      </c>
    </row>
    <row r="807" spans="1:12" x14ac:dyDescent="0.3">
      <c r="A807">
        <v>1806</v>
      </c>
      <c r="B807" s="1">
        <v>45455</v>
      </c>
      <c r="C807">
        <v>2024</v>
      </c>
      <c r="D807" t="s">
        <v>31</v>
      </c>
      <c r="E807" t="s">
        <v>13</v>
      </c>
      <c r="F807" t="s">
        <v>43</v>
      </c>
      <c r="G807" t="s">
        <v>44</v>
      </c>
      <c r="H807" t="s">
        <v>46</v>
      </c>
      <c r="I807" t="s">
        <v>17</v>
      </c>
      <c r="J807">
        <v>27351</v>
      </c>
      <c r="K807">
        <v>17519</v>
      </c>
      <c r="L807">
        <v>4</v>
      </c>
    </row>
    <row r="808" spans="1:12" x14ac:dyDescent="0.3">
      <c r="A808">
        <v>1807</v>
      </c>
      <c r="B808" s="1">
        <v>45145</v>
      </c>
      <c r="C808">
        <v>2023</v>
      </c>
      <c r="D808" t="s">
        <v>48</v>
      </c>
      <c r="E808" t="s">
        <v>13</v>
      </c>
      <c r="F808" t="s">
        <v>14</v>
      </c>
      <c r="G808" t="s">
        <v>15</v>
      </c>
      <c r="H808" t="s">
        <v>46</v>
      </c>
      <c r="I808" t="s">
        <v>17</v>
      </c>
      <c r="J808">
        <v>10832</v>
      </c>
      <c r="K808">
        <v>8472</v>
      </c>
      <c r="L808">
        <v>4</v>
      </c>
    </row>
    <row r="809" spans="1:12" x14ac:dyDescent="0.3">
      <c r="A809">
        <v>1808</v>
      </c>
      <c r="B809" s="1">
        <v>45473</v>
      </c>
      <c r="C809">
        <v>2024</v>
      </c>
      <c r="D809" t="s">
        <v>31</v>
      </c>
      <c r="E809" t="s">
        <v>24</v>
      </c>
      <c r="F809" t="s">
        <v>25</v>
      </c>
      <c r="G809" t="s">
        <v>29</v>
      </c>
      <c r="H809" t="s">
        <v>27</v>
      </c>
      <c r="I809" t="s">
        <v>17</v>
      </c>
      <c r="J809">
        <v>22784</v>
      </c>
      <c r="K809">
        <v>15497</v>
      </c>
      <c r="L809">
        <v>1</v>
      </c>
    </row>
    <row r="810" spans="1:12" x14ac:dyDescent="0.3">
      <c r="A810">
        <v>1809</v>
      </c>
      <c r="B810" s="1">
        <v>45399</v>
      </c>
      <c r="C810">
        <v>2024</v>
      </c>
      <c r="D810" t="s">
        <v>38</v>
      </c>
      <c r="E810" t="s">
        <v>13</v>
      </c>
      <c r="F810" t="s">
        <v>36</v>
      </c>
      <c r="G810" t="s">
        <v>37</v>
      </c>
      <c r="H810" t="s">
        <v>41</v>
      </c>
      <c r="I810" t="s">
        <v>23</v>
      </c>
      <c r="J810">
        <v>11864</v>
      </c>
      <c r="K810">
        <v>7333</v>
      </c>
      <c r="L810">
        <v>4</v>
      </c>
    </row>
    <row r="811" spans="1:12" x14ac:dyDescent="0.3">
      <c r="A811">
        <v>1810</v>
      </c>
      <c r="B811" s="1">
        <v>45360</v>
      </c>
      <c r="C811">
        <v>2024</v>
      </c>
      <c r="D811" t="s">
        <v>49</v>
      </c>
      <c r="E811" t="s">
        <v>24</v>
      </c>
      <c r="F811" t="s">
        <v>25</v>
      </c>
      <c r="G811" t="s">
        <v>29</v>
      </c>
      <c r="H811" t="s">
        <v>22</v>
      </c>
      <c r="I811" t="s">
        <v>23</v>
      </c>
      <c r="J811">
        <v>9672</v>
      </c>
      <c r="K811">
        <v>6929</v>
      </c>
      <c r="L811">
        <v>5</v>
      </c>
    </row>
    <row r="812" spans="1:12" x14ac:dyDescent="0.3">
      <c r="A812">
        <v>1811</v>
      </c>
      <c r="B812" s="1">
        <v>45207</v>
      </c>
      <c r="C812">
        <v>2023</v>
      </c>
      <c r="D812" t="s">
        <v>12</v>
      </c>
      <c r="E812" t="s">
        <v>13</v>
      </c>
      <c r="F812" t="s">
        <v>43</v>
      </c>
      <c r="G812" t="s">
        <v>44</v>
      </c>
      <c r="H812" t="s">
        <v>30</v>
      </c>
      <c r="I812" t="s">
        <v>23</v>
      </c>
      <c r="J812">
        <v>6908</v>
      </c>
      <c r="K812">
        <v>4898</v>
      </c>
      <c r="L812">
        <v>3</v>
      </c>
    </row>
    <row r="813" spans="1:12" x14ac:dyDescent="0.3">
      <c r="A813">
        <v>1812</v>
      </c>
      <c r="B813" s="1">
        <v>45120</v>
      </c>
      <c r="C813">
        <v>2023</v>
      </c>
      <c r="D813" t="s">
        <v>28</v>
      </c>
      <c r="E813" t="s">
        <v>19</v>
      </c>
      <c r="F813" t="s">
        <v>20</v>
      </c>
      <c r="G813" t="s">
        <v>21</v>
      </c>
      <c r="H813" t="s">
        <v>27</v>
      </c>
      <c r="I813" t="s">
        <v>17</v>
      </c>
      <c r="J813">
        <v>20680</v>
      </c>
      <c r="K813">
        <v>13579</v>
      </c>
      <c r="L813">
        <v>2</v>
      </c>
    </row>
    <row r="814" spans="1:12" x14ac:dyDescent="0.3">
      <c r="A814">
        <v>1813</v>
      </c>
      <c r="B814" s="1">
        <v>45033</v>
      </c>
      <c r="C814">
        <v>2023</v>
      </c>
      <c r="D814" t="s">
        <v>38</v>
      </c>
      <c r="E814" t="s">
        <v>13</v>
      </c>
      <c r="F814" t="s">
        <v>43</v>
      </c>
      <c r="G814" t="s">
        <v>44</v>
      </c>
      <c r="H814" t="s">
        <v>27</v>
      </c>
      <c r="I814" t="s">
        <v>17</v>
      </c>
      <c r="J814">
        <v>23212</v>
      </c>
      <c r="K814">
        <v>17573</v>
      </c>
      <c r="L814">
        <v>4</v>
      </c>
    </row>
    <row r="815" spans="1:12" x14ac:dyDescent="0.3">
      <c r="A815">
        <v>1814</v>
      </c>
      <c r="B815" s="1">
        <v>45387</v>
      </c>
      <c r="C815">
        <v>2024</v>
      </c>
      <c r="D815" t="s">
        <v>38</v>
      </c>
      <c r="E815" t="s">
        <v>19</v>
      </c>
      <c r="F815" t="s">
        <v>20</v>
      </c>
      <c r="G815" t="s">
        <v>21</v>
      </c>
      <c r="H815" t="s">
        <v>34</v>
      </c>
      <c r="I815" t="s">
        <v>23</v>
      </c>
      <c r="J815">
        <v>15108</v>
      </c>
      <c r="K815">
        <v>11098</v>
      </c>
      <c r="L815">
        <v>5</v>
      </c>
    </row>
    <row r="816" spans="1:12" x14ac:dyDescent="0.3">
      <c r="A816">
        <v>1815</v>
      </c>
      <c r="B816" s="1">
        <v>45653</v>
      </c>
      <c r="C816">
        <v>2024</v>
      </c>
      <c r="D816" t="s">
        <v>47</v>
      </c>
      <c r="E816" t="s">
        <v>13</v>
      </c>
      <c r="F816" t="s">
        <v>36</v>
      </c>
      <c r="G816" t="s">
        <v>37</v>
      </c>
      <c r="H816" t="s">
        <v>46</v>
      </c>
      <c r="I816" t="s">
        <v>17</v>
      </c>
      <c r="J816">
        <v>13814</v>
      </c>
      <c r="K816">
        <v>9633</v>
      </c>
      <c r="L816">
        <v>4</v>
      </c>
    </row>
    <row r="817" spans="1:12" x14ac:dyDescent="0.3">
      <c r="A817">
        <v>1816</v>
      </c>
      <c r="B817" s="1">
        <v>45565</v>
      </c>
      <c r="C817">
        <v>2024</v>
      </c>
      <c r="D817" t="s">
        <v>42</v>
      </c>
      <c r="E817" t="s">
        <v>19</v>
      </c>
      <c r="F817" t="s">
        <v>40</v>
      </c>
      <c r="G817" t="s">
        <v>40</v>
      </c>
      <c r="H817" t="s">
        <v>30</v>
      </c>
      <c r="I817" t="s">
        <v>23</v>
      </c>
      <c r="J817">
        <v>6134</v>
      </c>
      <c r="K817">
        <v>4334</v>
      </c>
      <c r="L817">
        <v>5</v>
      </c>
    </row>
    <row r="818" spans="1:12" x14ac:dyDescent="0.3">
      <c r="A818">
        <v>1817</v>
      </c>
      <c r="B818" s="1">
        <v>45245</v>
      </c>
      <c r="C818">
        <v>2023</v>
      </c>
      <c r="D818" t="s">
        <v>39</v>
      </c>
      <c r="E818" t="s">
        <v>24</v>
      </c>
      <c r="F818" t="s">
        <v>25</v>
      </c>
      <c r="G818" t="s">
        <v>29</v>
      </c>
      <c r="H818" t="s">
        <v>22</v>
      </c>
      <c r="I818" t="s">
        <v>23</v>
      </c>
      <c r="J818">
        <v>8422</v>
      </c>
      <c r="K818">
        <v>5837</v>
      </c>
      <c r="L818">
        <v>1</v>
      </c>
    </row>
    <row r="819" spans="1:12" x14ac:dyDescent="0.3">
      <c r="A819">
        <v>1818</v>
      </c>
      <c r="B819" s="1">
        <v>45626</v>
      </c>
      <c r="C819">
        <v>2024</v>
      </c>
      <c r="D819" t="s">
        <v>39</v>
      </c>
      <c r="E819" t="s">
        <v>24</v>
      </c>
      <c r="F819" t="s">
        <v>32</v>
      </c>
      <c r="G819" t="s">
        <v>33</v>
      </c>
      <c r="H819" t="s">
        <v>46</v>
      </c>
      <c r="I819" t="s">
        <v>17</v>
      </c>
      <c r="J819">
        <v>11263</v>
      </c>
      <c r="K819">
        <v>8639</v>
      </c>
      <c r="L819">
        <v>5</v>
      </c>
    </row>
    <row r="820" spans="1:12" x14ac:dyDescent="0.3">
      <c r="A820">
        <v>1819</v>
      </c>
      <c r="B820" s="1">
        <v>45233</v>
      </c>
      <c r="C820">
        <v>2023</v>
      </c>
      <c r="D820" t="s">
        <v>39</v>
      </c>
      <c r="E820" t="s">
        <v>24</v>
      </c>
      <c r="F820" t="s">
        <v>32</v>
      </c>
      <c r="G820" t="s">
        <v>33</v>
      </c>
      <c r="H820" t="s">
        <v>22</v>
      </c>
      <c r="I820" t="s">
        <v>23</v>
      </c>
      <c r="J820">
        <v>4349</v>
      </c>
      <c r="K820">
        <v>2701</v>
      </c>
      <c r="L820">
        <v>4</v>
      </c>
    </row>
    <row r="821" spans="1:12" x14ac:dyDescent="0.3">
      <c r="A821">
        <v>1820</v>
      </c>
      <c r="B821" s="1">
        <v>45382</v>
      </c>
      <c r="C821">
        <v>2024</v>
      </c>
      <c r="D821" t="s">
        <v>49</v>
      </c>
      <c r="E821" t="s">
        <v>19</v>
      </c>
      <c r="F821" t="s">
        <v>40</v>
      </c>
      <c r="G821" t="s">
        <v>40</v>
      </c>
      <c r="H821" t="s">
        <v>22</v>
      </c>
      <c r="I821" t="s">
        <v>23</v>
      </c>
      <c r="J821">
        <v>4575</v>
      </c>
      <c r="K821">
        <v>3740</v>
      </c>
      <c r="L821">
        <v>2</v>
      </c>
    </row>
    <row r="822" spans="1:12" x14ac:dyDescent="0.3">
      <c r="A822">
        <v>1821</v>
      </c>
      <c r="B822" s="1">
        <v>45386</v>
      </c>
      <c r="C822">
        <v>2024</v>
      </c>
      <c r="D822" t="s">
        <v>38</v>
      </c>
      <c r="E822" t="s">
        <v>13</v>
      </c>
      <c r="F822" t="s">
        <v>43</v>
      </c>
      <c r="G822" t="s">
        <v>44</v>
      </c>
      <c r="H822" t="s">
        <v>22</v>
      </c>
      <c r="I822" t="s">
        <v>23</v>
      </c>
      <c r="J822">
        <v>4598</v>
      </c>
      <c r="K822">
        <v>3025</v>
      </c>
      <c r="L822">
        <v>3</v>
      </c>
    </row>
    <row r="823" spans="1:12" x14ac:dyDescent="0.3">
      <c r="A823">
        <v>1822</v>
      </c>
      <c r="B823" s="1">
        <v>45445</v>
      </c>
      <c r="C823">
        <v>2024</v>
      </c>
      <c r="D823" t="s">
        <v>31</v>
      </c>
      <c r="E823" t="s">
        <v>24</v>
      </c>
      <c r="F823" t="s">
        <v>32</v>
      </c>
      <c r="G823" t="s">
        <v>33</v>
      </c>
      <c r="H823" t="s">
        <v>41</v>
      </c>
      <c r="I823" t="s">
        <v>23</v>
      </c>
      <c r="J823">
        <v>19680</v>
      </c>
      <c r="K823">
        <v>15731</v>
      </c>
      <c r="L823">
        <v>5</v>
      </c>
    </row>
    <row r="824" spans="1:12" x14ac:dyDescent="0.3">
      <c r="A824">
        <v>1823</v>
      </c>
      <c r="B824" s="1">
        <v>45358</v>
      </c>
      <c r="C824">
        <v>2024</v>
      </c>
      <c r="D824" t="s">
        <v>49</v>
      </c>
      <c r="E824" t="s">
        <v>13</v>
      </c>
      <c r="F824" t="s">
        <v>43</v>
      </c>
      <c r="G824" t="s">
        <v>44</v>
      </c>
      <c r="H824" t="s">
        <v>46</v>
      </c>
      <c r="I824" t="s">
        <v>17</v>
      </c>
      <c r="J824">
        <v>19550</v>
      </c>
      <c r="K824">
        <v>12284</v>
      </c>
      <c r="L824">
        <v>1</v>
      </c>
    </row>
    <row r="825" spans="1:12" x14ac:dyDescent="0.3">
      <c r="A825">
        <v>1824</v>
      </c>
      <c r="B825" s="1">
        <v>45003</v>
      </c>
      <c r="C825">
        <v>2023</v>
      </c>
      <c r="D825" t="s">
        <v>49</v>
      </c>
      <c r="E825" t="s">
        <v>19</v>
      </c>
      <c r="F825" t="s">
        <v>20</v>
      </c>
      <c r="G825" t="s">
        <v>21</v>
      </c>
      <c r="H825" t="s">
        <v>34</v>
      </c>
      <c r="I825" t="s">
        <v>23</v>
      </c>
      <c r="J825">
        <v>21716</v>
      </c>
      <c r="K825">
        <v>14957</v>
      </c>
      <c r="L825">
        <v>1</v>
      </c>
    </row>
    <row r="826" spans="1:12" x14ac:dyDescent="0.3">
      <c r="A826">
        <v>1825</v>
      </c>
      <c r="B826" s="1">
        <v>45410</v>
      </c>
      <c r="C826">
        <v>2024</v>
      </c>
      <c r="D826" t="s">
        <v>38</v>
      </c>
      <c r="E826" t="s">
        <v>19</v>
      </c>
      <c r="F826" t="s">
        <v>40</v>
      </c>
      <c r="G826" t="s">
        <v>40</v>
      </c>
      <c r="H826" t="s">
        <v>27</v>
      </c>
      <c r="I826" t="s">
        <v>17</v>
      </c>
      <c r="J826">
        <v>24079</v>
      </c>
      <c r="K826">
        <v>20191</v>
      </c>
      <c r="L826">
        <v>4</v>
      </c>
    </row>
    <row r="827" spans="1:12" x14ac:dyDescent="0.3">
      <c r="A827">
        <v>1826</v>
      </c>
      <c r="B827" s="1">
        <v>45117</v>
      </c>
      <c r="C827">
        <v>2023</v>
      </c>
      <c r="D827" t="s">
        <v>28</v>
      </c>
      <c r="E827" t="s">
        <v>24</v>
      </c>
      <c r="F827" t="s">
        <v>32</v>
      </c>
      <c r="G827" t="s">
        <v>33</v>
      </c>
      <c r="H827" t="s">
        <v>16</v>
      </c>
      <c r="I827" t="s">
        <v>17</v>
      </c>
      <c r="J827">
        <v>56017</v>
      </c>
      <c r="K827">
        <v>33652</v>
      </c>
      <c r="L827">
        <v>4</v>
      </c>
    </row>
    <row r="828" spans="1:12" x14ac:dyDescent="0.3">
      <c r="A828">
        <v>1827</v>
      </c>
      <c r="B828" s="1">
        <v>45255</v>
      </c>
      <c r="C828">
        <v>2023</v>
      </c>
      <c r="D828" t="s">
        <v>39</v>
      </c>
      <c r="E828" t="s">
        <v>19</v>
      </c>
      <c r="F828" t="s">
        <v>40</v>
      </c>
      <c r="G828" t="s">
        <v>40</v>
      </c>
      <c r="H828" t="s">
        <v>16</v>
      </c>
      <c r="I828" t="s">
        <v>17</v>
      </c>
      <c r="J828">
        <v>69239</v>
      </c>
      <c r="K828">
        <v>49006</v>
      </c>
      <c r="L828">
        <v>3</v>
      </c>
    </row>
    <row r="829" spans="1:12" x14ac:dyDescent="0.3">
      <c r="A829">
        <v>1828</v>
      </c>
      <c r="B829" s="1">
        <v>45289</v>
      </c>
      <c r="C829">
        <v>2023</v>
      </c>
      <c r="D829" t="s">
        <v>47</v>
      </c>
      <c r="E829" t="s">
        <v>13</v>
      </c>
      <c r="F829" t="s">
        <v>14</v>
      </c>
      <c r="G829" t="s">
        <v>15</v>
      </c>
      <c r="H829" t="s">
        <v>34</v>
      </c>
      <c r="I829" t="s">
        <v>23</v>
      </c>
      <c r="J829">
        <v>24587</v>
      </c>
      <c r="K829">
        <v>19185</v>
      </c>
      <c r="L829">
        <v>5</v>
      </c>
    </row>
    <row r="830" spans="1:12" x14ac:dyDescent="0.3">
      <c r="A830">
        <v>1829</v>
      </c>
      <c r="B830" s="1">
        <v>45404</v>
      </c>
      <c r="C830">
        <v>2024</v>
      </c>
      <c r="D830" t="s">
        <v>38</v>
      </c>
      <c r="E830" t="s">
        <v>19</v>
      </c>
      <c r="F830" t="s">
        <v>40</v>
      </c>
      <c r="G830" t="s">
        <v>40</v>
      </c>
      <c r="H830" t="s">
        <v>27</v>
      </c>
      <c r="I830" t="s">
        <v>17</v>
      </c>
      <c r="J830">
        <v>30120</v>
      </c>
      <c r="K830">
        <v>23772</v>
      </c>
      <c r="L830">
        <v>5</v>
      </c>
    </row>
    <row r="831" spans="1:12" x14ac:dyDescent="0.3">
      <c r="A831">
        <v>1830</v>
      </c>
      <c r="B831" s="1">
        <v>45182</v>
      </c>
      <c r="C831">
        <v>2023</v>
      </c>
      <c r="D831" t="s">
        <v>42</v>
      </c>
      <c r="E831" t="s">
        <v>19</v>
      </c>
      <c r="F831" t="s">
        <v>20</v>
      </c>
      <c r="G831" t="s">
        <v>21</v>
      </c>
      <c r="H831" t="s">
        <v>34</v>
      </c>
      <c r="I831" t="s">
        <v>23</v>
      </c>
      <c r="J831">
        <v>31038</v>
      </c>
      <c r="K831">
        <v>23994</v>
      </c>
      <c r="L831">
        <v>3</v>
      </c>
    </row>
    <row r="832" spans="1:12" x14ac:dyDescent="0.3">
      <c r="A832">
        <v>1831</v>
      </c>
      <c r="B832" s="1">
        <v>45263</v>
      </c>
      <c r="C832">
        <v>2023</v>
      </c>
      <c r="D832" t="s">
        <v>47</v>
      </c>
      <c r="E832" t="s">
        <v>24</v>
      </c>
      <c r="F832" t="s">
        <v>32</v>
      </c>
      <c r="G832" t="s">
        <v>33</v>
      </c>
      <c r="H832" t="s">
        <v>30</v>
      </c>
      <c r="I832" t="s">
        <v>23</v>
      </c>
      <c r="J832">
        <v>13603</v>
      </c>
      <c r="K832">
        <v>10722</v>
      </c>
      <c r="L832">
        <v>4</v>
      </c>
    </row>
    <row r="833" spans="1:12" x14ac:dyDescent="0.3">
      <c r="A833">
        <v>1832</v>
      </c>
      <c r="B833" s="1">
        <v>45522</v>
      </c>
      <c r="C833">
        <v>2024</v>
      </c>
      <c r="D833" t="s">
        <v>48</v>
      </c>
      <c r="E833" t="s">
        <v>19</v>
      </c>
      <c r="F833" t="s">
        <v>20</v>
      </c>
      <c r="G833" t="s">
        <v>21</v>
      </c>
      <c r="H833" t="s">
        <v>46</v>
      </c>
      <c r="I833" t="s">
        <v>17</v>
      </c>
      <c r="J833">
        <v>28347</v>
      </c>
      <c r="K833">
        <v>20658</v>
      </c>
      <c r="L833">
        <v>1</v>
      </c>
    </row>
    <row r="834" spans="1:12" x14ac:dyDescent="0.3">
      <c r="A834">
        <v>1833</v>
      </c>
      <c r="B834" s="1">
        <v>45375</v>
      </c>
      <c r="C834">
        <v>2024</v>
      </c>
      <c r="D834" t="s">
        <v>49</v>
      </c>
      <c r="E834" t="s">
        <v>13</v>
      </c>
      <c r="F834" t="s">
        <v>14</v>
      </c>
      <c r="G834" t="s">
        <v>15</v>
      </c>
      <c r="H834" t="s">
        <v>46</v>
      </c>
      <c r="I834" t="s">
        <v>17</v>
      </c>
      <c r="J834">
        <v>10303</v>
      </c>
      <c r="K834">
        <v>6724</v>
      </c>
      <c r="L834">
        <v>3</v>
      </c>
    </row>
    <row r="835" spans="1:12" x14ac:dyDescent="0.3">
      <c r="A835">
        <v>1834</v>
      </c>
      <c r="B835" s="1">
        <v>45585</v>
      </c>
      <c r="C835">
        <v>2024</v>
      </c>
      <c r="D835" t="s">
        <v>12</v>
      </c>
      <c r="E835" t="s">
        <v>24</v>
      </c>
      <c r="F835" t="s">
        <v>32</v>
      </c>
      <c r="G835" t="s">
        <v>33</v>
      </c>
      <c r="H835" t="s">
        <v>30</v>
      </c>
      <c r="I835" t="s">
        <v>23</v>
      </c>
      <c r="J835">
        <v>5275</v>
      </c>
      <c r="K835">
        <v>3323</v>
      </c>
      <c r="L835">
        <v>5</v>
      </c>
    </row>
    <row r="836" spans="1:12" x14ac:dyDescent="0.3">
      <c r="A836">
        <v>1835</v>
      </c>
      <c r="B836" s="1">
        <v>45129</v>
      </c>
      <c r="C836">
        <v>2023</v>
      </c>
      <c r="D836" t="s">
        <v>28</v>
      </c>
      <c r="E836" t="s">
        <v>13</v>
      </c>
      <c r="F836" t="s">
        <v>43</v>
      </c>
      <c r="G836" t="s">
        <v>44</v>
      </c>
      <c r="H836" t="s">
        <v>22</v>
      </c>
      <c r="I836" t="s">
        <v>23</v>
      </c>
      <c r="J836">
        <v>8258</v>
      </c>
      <c r="K836">
        <v>6227</v>
      </c>
      <c r="L836">
        <v>3</v>
      </c>
    </row>
    <row r="837" spans="1:12" x14ac:dyDescent="0.3">
      <c r="A837">
        <v>1836</v>
      </c>
      <c r="B837" s="1">
        <v>45120</v>
      </c>
      <c r="C837">
        <v>2023</v>
      </c>
      <c r="D837" t="s">
        <v>28</v>
      </c>
      <c r="E837" t="s">
        <v>13</v>
      </c>
      <c r="F837" t="s">
        <v>43</v>
      </c>
      <c r="G837" t="s">
        <v>44</v>
      </c>
      <c r="H837" t="s">
        <v>27</v>
      </c>
      <c r="I837" t="s">
        <v>17</v>
      </c>
      <c r="J837">
        <v>25557</v>
      </c>
      <c r="K837">
        <v>18569</v>
      </c>
      <c r="L837">
        <v>1</v>
      </c>
    </row>
    <row r="838" spans="1:12" x14ac:dyDescent="0.3">
      <c r="A838">
        <v>1837</v>
      </c>
      <c r="B838" s="1">
        <v>44998</v>
      </c>
      <c r="C838">
        <v>2023</v>
      </c>
      <c r="D838" t="s">
        <v>49</v>
      </c>
      <c r="E838" t="s">
        <v>24</v>
      </c>
      <c r="F838" t="s">
        <v>32</v>
      </c>
      <c r="G838" t="s">
        <v>33</v>
      </c>
      <c r="H838" t="s">
        <v>46</v>
      </c>
      <c r="I838" t="s">
        <v>17</v>
      </c>
      <c r="J838">
        <v>28209</v>
      </c>
      <c r="K838">
        <v>21827</v>
      </c>
      <c r="L838">
        <v>1</v>
      </c>
    </row>
    <row r="839" spans="1:12" x14ac:dyDescent="0.3">
      <c r="A839">
        <v>1838</v>
      </c>
      <c r="B839" s="1">
        <v>45245</v>
      </c>
      <c r="C839">
        <v>2023</v>
      </c>
      <c r="D839" t="s">
        <v>39</v>
      </c>
      <c r="E839" t="s">
        <v>13</v>
      </c>
      <c r="F839" t="s">
        <v>43</v>
      </c>
      <c r="G839" t="s">
        <v>44</v>
      </c>
      <c r="H839" t="s">
        <v>46</v>
      </c>
      <c r="I839" t="s">
        <v>17</v>
      </c>
      <c r="J839">
        <v>20449</v>
      </c>
      <c r="K839">
        <v>14859</v>
      </c>
      <c r="L839">
        <v>4</v>
      </c>
    </row>
    <row r="840" spans="1:12" x14ac:dyDescent="0.3">
      <c r="A840">
        <v>1839</v>
      </c>
      <c r="B840" s="1">
        <v>44932</v>
      </c>
      <c r="C840">
        <v>2023</v>
      </c>
      <c r="D840" t="s">
        <v>35</v>
      </c>
      <c r="E840" t="s">
        <v>19</v>
      </c>
      <c r="F840" t="s">
        <v>40</v>
      </c>
      <c r="G840" t="s">
        <v>40</v>
      </c>
      <c r="H840" t="s">
        <v>34</v>
      </c>
      <c r="I840" t="s">
        <v>23</v>
      </c>
      <c r="J840">
        <v>18103</v>
      </c>
      <c r="K840">
        <v>14633</v>
      </c>
      <c r="L840">
        <v>1</v>
      </c>
    </row>
    <row r="841" spans="1:12" x14ac:dyDescent="0.3">
      <c r="A841">
        <v>1840</v>
      </c>
      <c r="B841" s="1">
        <v>45158</v>
      </c>
      <c r="C841">
        <v>2023</v>
      </c>
      <c r="D841" t="s">
        <v>48</v>
      </c>
      <c r="E841" t="s">
        <v>24</v>
      </c>
      <c r="F841" t="s">
        <v>25</v>
      </c>
      <c r="G841" t="s">
        <v>26</v>
      </c>
      <c r="H841" t="s">
        <v>22</v>
      </c>
      <c r="I841" t="s">
        <v>23</v>
      </c>
      <c r="J841">
        <v>5242</v>
      </c>
      <c r="K841">
        <v>3615</v>
      </c>
      <c r="L841">
        <v>3</v>
      </c>
    </row>
    <row r="842" spans="1:12" x14ac:dyDescent="0.3">
      <c r="A842">
        <v>1841</v>
      </c>
      <c r="B842" s="1">
        <v>45091</v>
      </c>
      <c r="C842">
        <v>2023</v>
      </c>
      <c r="D842" t="s">
        <v>31</v>
      </c>
      <c r="E842" t="s">
        <v>24</v>
      </c>
      <c r="F842" t="s">
        <v>25</v>
      </c>
      <c r="G842" t="s">
        <v>26</v>
      </c>
      <c r="H842" t="s">
        <v>30</v>
      </c>
      <c r="I842" t="s">
        <v>23</v>
      </c>
      <c r="J842">
        <v>6853</v>
      </c>
      <c r="K842">
        <v>4380</v>
      </c>
      <c r="L842">
        <v>1</v>
      </c>
    </row>
    <row r="843" spans="1:12" x14ac:dyDescent="0.3">
      <c r="A843">
        <v>1842</v>
      </c>
      <c r="B843" s="1">
        <v>45228</v>
      </c>
      <c r="C843">
        <v>2023</v>
      </c>
      <c r="D843" t="s">
        <v>12</v>
      </c>
      <c r="E843" t="s">
        <v>19</v>
      </c>
      <c r="F843" t="s">
        <v>40</v>
      </c>
      <c r="G843" t="s">
        <v>40</v>
      </c>
      <c r="H843" t="s">
        <v>22</v>
      </c>
      <c r="I843" t="s">
        <v>23</v>
      </c>
      <c r="J843">
        <v>4260</v>
      </c>
      <c r="K843">
        <v>3184</v>
      </c>
      <c r="L843">
        <v>3</v>
      </c>
    </row>
    <row r="844" spans="1:12" x14ac:dyDescent="0.3">
      <c r="A844">
        <v>1843</v>
      </c>
      <c r="B844" s="1">
        <v>45163</v>
      </c>
      <c r="C844">
        <v>2023</v>
      </c>
      <c r="D844" t="s">
        <v>48</v>
      </c>
      <c r="E844" t="s">
        <v>13</v>
      </c>
      <c r="F844" t="s">
        <v>36</v>
      </c>
      <c r="G844" t="s">
        <v>37</v>
      </c>
      <c r="H844" t="s">
        <v>41</v>
      </c>
      <c r="I844" t="s">
        <v>23</v>
      </c>
      <c r="J844">
        <v>11037</v>
      </c>
      <c r="K844">
        <v>7773</v>
      </c>
      <c r="L844">
        <v>4</v>
      </c>
    </row>
    <row r="845" spans="1:12" x14ac:dyDescent="0.3">
      <c r="A845">
        <v>1844</v>
      </c>
      <c r="B845" s="1">
        <v>45624</v>
      </c>
      <c r="C845">
        <v>2024</v>
      </c>
      <c r="D845" t="s">
        <v>39</v>
      </c>
      <c r="E845" t="s">
        <v>24</v>
      </c>
      <c r="F845" t="s">
        <v>25</v>
      </c>
      <c r="G845" t="s">
        <v>26</v>
      </c>
      <c r="H845" t="s">
        <v>22</v>
      </c>
      <c r="I845" t="s">
        <v>23</v>
      </c>
      <c r="J845">
        <v>6724</v>
      </c>
      <c r="K845">
        <v>5466</v>
      </c>
      <c r="L845">
        <v>1</v>
      </c>
    </row>
    <row r="846" spans="1:12" x14ac:dyDescent="0.3">
      <c r="A846">
        <v>1845</v>
      </c>
      <c r="B846" s="1">
        <v>45267</v>
      </c>
      <c r="C846">
        <v>2023</v>
      </c>
      <c r="D846" t="s">
        <v>47</v>
      </c>
      <c r="E846" t="s">
        <v>19</v>
      </c>
      <c r="F846" t="s">
        <v>20</v>
      </c>
      <c r="G846" t="s">
        <v>21</v>
      </c>
      <c r="H846" t="s">
        <v>46</v>
      </c>
      <c r="I846" t="s">
        <v>17</v>
      </c>
      <c r="J846">
        <v>14859</v>
      </c>
      <c r="K846">
        <v>12455</v>
      </c>
      <c r="L846">
        <v>3</v>
      </c>
    </row>
    <row r="847" spans="1:12" x14ac:dyDescent="0.3">
      <c r="A847">
        <v>1846</v>
      </c>
      <c r="B847" s="1">
        <v>45589</v>
      </c>
      <c r="C847">
        <v>2024</v>
      </c>
      <c r="D847" t="s">
        <v>12</v>
      </c>
      <c r="E847" t="s">
        <v>13</v>
      </c>
      <c r="F847" t="s">
        <v>36</v>
      </c>
      <c r="G847" t="s">
        <v>37</v>
      </c>
      <c r="H847" t="s">
        <v>34</v>
      </c>
      <c r="I847" t="s">
        <v>23</v>
      </c>
      <c r="J847">
        <v>27509</v>
      </c>
      <c r="K847">
        <v>18017</v>
      </c>
      <c r="L847">
        <v>5</v>
      </c>
    </row>
    <row r="848" spans="1:12" x14ac:dyDescent="0.3">
      <c r="A848">
        <v>1847</v>
      </c>
      <c r="B848" s="1">
        <v>44989</v>
      </c>
      <c r="C848">
        <v>2023</v>
      </c>
      <c r="D848" t="s">
        <v>49</v>
      </c>
      <c r="E848" t="s">
        <v>13</v>
      </c>
      <c r="F848" t="s">
        <v>14</v>
      </c>
      <c r="G848" t="s">
        <v>15</v>
      </c>
      <c r="H848" t="s">
        <v>41</v>
      </c>
      <c r="I848" t="s">
        <v>23</v>
      </c>
      <c r="J848">
        <v>13366</v>
      </c>
      <c r="K848">
        <v>10080</v>
      </c>
      <c r="L848">
        <v>4</v>
      </c>
    </row>
    <row r="849" spans="1:12" x14ac:dyDescent="0.3">
      <c r="A849">
        <v>1848</v>
      </c>
      <c r="B849" s="1">
        <v>45486</v>
      </c>
      <c r="C849">
        <v>2024</v>
      </c>
      <c r="D849" t="s">
        <v>28</v>
      </c>
      <c r="E849" t="s">
        <v>24</v>
      </c>
      <c r="F849" t="s">
        <v>25</v>
      </c>
      <c r="G849" t="s">
        <v>29</v>
      </c>
      <c r="H849" t="s">
        <v>16</v>
      </c>
      <c r="I849" t="s">
        <v>17</v>
      </c>
      <c r="J849">
        <v>49875</v>
      </c>
      <c r="K849">
        <v>38654</v>
      </c>
      <c r="L849">
        <v>5</v>
      </c>
    </row>
    <row r="850" spans="1:12" x14ac:dyDescent="0.3">
      <c r="A850">
        <v>1849</v>
      </c>
      <c r="B850" s="1">
        <v>45398</v>
      </c>
      <c r="C850">
        <v>2024</v>
      </c>
      <c r="D850" t="s">
        <v>38</v>
      </c>
      <c r="E850" t="s">
        <v>19</v>
      </c>
      <c r="F850" t="s">
        <v>40</v>
      </c>
      <c r="G850" t="s">
        <v>40</v>
      </c>
      <c r="H850" t="s">
        <v>41</v>
      </c>
      <c r="I850" t="s">
        <v>23</v>
      </c>
      <c r="J850">
        <v>18326</v>
      </c>
      <c r="K850">
        <v>14199</v>
      </c>
      <c r="L850">
        <v>4</v>
      </c>
    </row>
    <row r="851" spans="1:12" x14ac:dyDescent="0.3">
      <c r="A851">
        <v>1850</v>
      </c>
      <c r="B851" s="1">
        <v>44988</v>
      </c>
      <c r="C851">
        <v>2023</v>
      </c>
      <c r="D851" t="s">
        <v>49</v>
      </c>
      <c r="E851" t="s">
        <v>19</v>
      </c>
      <c r="F851" t="s">
        <v>40</v>
      </c>
      <c r="G851" t="s">
        <v>40</v>
      </c>
      <c r="H851" t="s">
        <v>46</v>
      </c>
      <c r="I851" t="s">
        <v>17</v>
      </c>
      <c r="J851">
        <v>29147</v>
      </c>
      <c r="K851">
        <v>21490</v>
      </c>
      <c r="L851">
        <v>2</v>
      </c>
    </row>
    <row r="852" spans="1:12" x14ac:dyDescent="0.3">
      <c r="A852">
        <v>1851</v>
      </c>
      <c r="B852" s="1">
        <v>45184</v>
      </c>
      <c r="C852">
        <v>2023</v>
      </c>
      <c r="D852" t="s">
        <v>42</v>
      </c>
      <c r="E852" t="s">
        <v>24</v>
      </c>
      <c r="F852" t="s">
        <v>25</v>
      </c>
      <c r="G852" t="s">
        <v>29</v>
      </c>
      <c r="H852" t="s">
        <v>41</v>
      </c>
      <c r="I852" t="s">
        <v>23</v>
      </c>
      <c r="J852">
        <v>13675</v>
      </c>
      <c r="K852">
        <v>11561</v>
      </c>
      <c r="L852">
        <v>4</v>
      </c>
    </row>
    <row r="853" spans="1:12" x14ac:dyDescent="0.3">
      <c r="A853">
        <v>1852</v>
      </c>
      <c r="B853" s="1">
        <v>45502</v>
      </c>
      <c r="C853">
        <v>2024</v>
      </c>
      <c r="D853" t="s">
        <v>28</v>
      </c>
      <c r="E853" t="s">
        <v>24</v>
      </c>
      <c r="F853" t="s">
        <v>25</v>
      </c>
      <c r="G853" t="s">
        <v>26</v>
      </c>
      <c r="H853" t="s">
        <v>16</v>
      </c>
      <c r="I853" t="s">
        <v>17</v>
      </c>
      <c r="J853">
        <v>49479</v>
      </c>
      <c r="K853">
        <v>32614</v>
      </c>
      <c r="L853">
        <v>2</v>
      </c>
    </row>
    <row r="854" spans="1:12" x14ac:dyDescent="0.3">
      <c r="A854">
        <v>1853</v>
      </c>
      <c r="B854" s="1">
        <v>45021</v>
      </c>
      <c r="C854">
        <v>2023</v>
      </c>
      <c r="D854" t="s">
        <v>38</v>
      </c>
      <c r="E854" t="s">
        <v>13</v>
      </c>
      <c r="F854" t="s">
        <v>36</v>
      </c>
      <c r="G854" t="s">
        <v>37</v>
      </c>
      <c r="H854" t="s">
        <v>34</v>
      </c>
      <c r="I854" t="s">
        <v>23</v>
      </c>
      <c r="J854">
        <v>22201</v>
      </c>
      <c r="K854">
        <v>18852</v>
      </c>
      <c r="L854">
        <v>5</v>
      </c>
    </row>
    <row r="855" spans="1:12" x14ac:dyDescent="0.3">
      <c r="A855">
        <v>1854</v>
      </c>
      <c r="B855" s="1">
        <v>45113</v>
      </c>
      <c r="C855">
        <v>2023</v>
      </c>
      <c r="D855" t="s">
        <v>28</v>
      </c>
      <c r="E855" t="s">
        <v>24</v>
      </c>
      <c r="F855" t="s">
        <v>32</v>
      </c>
      <c r="G855" t="s">
        <v>33</v>
      </c>
      <c r="H855" t="s">
        <v>27</v>
      </c>
      <c r="I855" t="s">
        <v>17</v>
      </c>
      <c r="J855">
        <v>20378</v>
      </c>
      <c r="K855">
        <v>16384</v>
      </c>
      <c r="L855">
        <v>2</v>
      </c>
    </row>
    <row r="856" spans="1:12" x14ac:dyDescent="0.3">
      <c r="A856">
        <v>1855</v>
      </c>
      <c r="B856" s="1">
        <v>45396</v>
      </c>
      <c r="C856">
        <v>2024</v>
      </c>
      <c r="D856" t="s">
        <v>38</v>
      </c>
      <c r="E856" t="s">
        <v>19</v>
      </c>
      <c r="F856" t="s">
        <v>20</v>
      </c>
      <c r="G856" t="s">
        <v>21</v>
      </c>
      <c r="H856" t="s">
        <v>46</v>
      </c>
      <c r="I856" t="s">
        <v>17</v>
      </c>
      <c r="J856">
        <v>12906</v>
      </c>
      <c r="K856">
        <v>10630</v>
      </c>
      <c r="L856">
        <v>4</v>
      </c>
    </row>
    <row r="857" spans="1:12" x14ac:dyDescent="0.3">
      <c r="A857">
        <v>1856</v>
      </c>
      <c r="B857" s="1">
        <v>45520</v>
      </c>
      <c r="C857">
        <v>2024</v>
      </c>
      <c r="D857" t="s">
        <v>48</v>
      </c>
      <c r="E857" t="s">
        <v>24</v>
      </c>
      <c r="F857" t="s">
        <v>25</v>
      </c>
      <c r="G857" t="s">
        <v>29</v>
      </c>
      <c r="H857" t="s">
        <v>27</v>
      </c>
      <c r="I857" t="s">
        <v>17</v>
      </c>
      <c r="J857">
        <v>31735</v>
      </c>
      <c r="K857">
        <v>21411</v>
      </c>
      <c r="L857">
        <v>4</v>
      </c>
    </row>
    <row r="858" spans="1:12" x14ac:dyDescent="0.3">
      <c r="A858">
        <v>1857</v>
      </c>
      <c r="B858" s="1">
        <v>45489</v>
      </c>
      <c r="C858">
        <v>2024</v>
      </c>
      <c r="D858" t="s">
        <v>28</v>
      </c>
      <c r="E858" t="s">
        <v>13</v>
      </c>
      <c r="F858" t="s">
        <v>36</v>
      </c>
      <c r="G858" t="s">
        <v>37</v>
      </c>
      <c r="H858" t="s">
        <v>41</v>
      </c>
      <c r="I858" t="s">
        <v>23</v>
      </c>
      <c r="J858">
        <v>16446</v>
      </c>
      <c r="K858">
        <v>12343</v>
      </c>
      <c r="L858">
        <v>1</v>
      </c>
    </row>
    <row r="859" spans="1:12" x14ac:dyDescent="0.3">
      <c r="A859">
        <v>1858</v>
      </c>
      <c r="B859" s="1">
        <v>45303</v>
      </c>
      <c r="C859">
        <v>2024</v>
      </c>
      <c r="D859" t="s">
        <v>35</v>
      </c>
      <c r="E859" t="s">
        <v>19</v>
      </c>
      <c r="F859" t="s">
        <v>20</v>
      </c>
      <c r="G859" t="s">
        <v>21</v>
      </c>
      <c r="H859" t="s">
        <v>34</v>
      </c>
      <c r="I859" t="s">
        <v>23</v>
      </c>
      <c r="J859">
        <v>20560</v>
      </c>
      <c r="K859">
        <v>16079</v>
      </c>
      <c r="L859">
        <v>5</v>
      </c>
    </row>
    <row r="860" spans="1:12" x14ac:dyDescent="0.3">
      <c r="A860">
        <v>1859</v>
      </c>
      <c r="B860" s="1">
        <v>45249</v>
      </c>
      <c r="C860">
        <v>2023</v>
      </c>
      <c r="D860" t="s">
        <v>39</v>
      </c>
      <c r="E860" t="s">
        <v>13</v>
      </c>
      <c r="F860" t="s">
        <v>43</v>
      </c>
      <c r="G860" t="s">
        <v>44</v>
      </c>
      <c r="H860" t="s">
        <v>22</v>
      </c>
      <c r="I860" t="s">
        <v>23</v>
      </c>
      <c r="J860">
        <v>7683</v>
      </c>
      <c r="K860">
        <v>5409</v>
      </c>
      <c r="L860">
        <v>1</v>
      </c>
    </row>
    <row r="861" spans="1:12" x14ac:dyDescent="0.3">
      <c r="A861">
        <v>1860</v>
      </c>
      <c r="B861" s="1">
        <v>45203</v>
      </c>
      <c r="C861">
        <v>2023</v>
      </c>
      <c r="D861" t="s">
        <v>12</v>
      </c>
      <c r="E861" t="s">
        <v>24</v>
      </c>
      <c r="F861" t="s">
        <v>25</v>
      </c>
      <c r="G861" t="s">
        <v>26</v>
      </c>
      <c r="H861" t="s">
        <v>41</v>
      </c>
      <c r="I861" t="s">
        <v>23</v>
      </c>
      <c r="J861">
        <v>10277</v>
      </c>
      <c r="K861">
        <v>7830</v>
      </c>
      <c r="L861">
        <v>5</v>
      </c>
    </row>
    <row r="862" spans="1:12" x14ac:dyDescent="0.3">
      <c r="A862">
        <v>1861</v>
      </c>
      <c r="B862" s="1">
        <v>45318</v>
      </c>
      <c r="C862">
        <v>2024</v>
      </c>
      <c r="D862" t="s">
        <v>35</v>
      </c>
      <c r="E862" t="s">
        <v>13</v>
      </c>
      <c r="F862" t="s">
        <v>14</v>
      </c>
      <c r="G862" t="s">
        <v>15</v>
      </c>
      <c r="H862" t="s">
        <v>30</v>
      </c>
      <c r="I862" t="s">
        <v>23</v>
      </c>
      <c r="J862">
        <v>9459</v>
      </c>
      <c r="K862">
        <v>6852</v>
      </c>
      <c r="L862">
        <v>2</v>
      </c>
    </row>
    <row r="863" spans="1:12" x14ac:dyDescent="0.3">
      <c r="A863">
        <v>1862</v>
      </c>
      <c r="B863" s="1">
        <v>45039</v>
      </c>
      <c r="C863">
        <v>2023</v>
      </c>
      <c r="D863" t="s">
        <v>38</v>
      </c>
      <c r="E863" t="s">
        <v>13</v>
      </c>
      <c r="F863" t="s">
        <v>36</v>
      </c>
      <c r="G863" t="s">
        <v>37</v>
      </c>
      <c r="H863" t="s">
        <v>16</v>
      </c>
      <c r="I863" t="s">
        <v>17</v>
      </c>
      <c r="J863">
        <v>54545</v>
      </c>
      <c r="K863">
        <v>37483</v>
      </c>
      <c r="L863">
        <v>4</v>
      </c>
    </row>
    <row r="864" spans="1:12" x14ac:dyDescent="0.3">
      <c r="A864">
        <v>1863</v>
      </c>
      <c r="B864" s="1">
        <v>45262</v>
      </c>
      <c r="C864">
        <v>2023</v>
      </c>
      <c r="D864" t="s">
        <v>47</v>
      </c>
      <c r="E864" t="s">
        <v>13</v>
      </c>
      <c r="F864" t="s">
        <v>14</v>
      </c>
      <c r="G864" t="s">
        <v>15</v>
      </c>
      <c r="H864" t="s">
        <v>27</v>
      </c>
      <c r="I864" t="s">
        <v>17</v>
      </c>
      <c r="J864">
        <v>21783</v>
      </c>
      <c r="K864">
        <v>16629</v>
      </c>
      <c r="L864">
        <v>2</v>
      </c>
    </row>
    <row r="865" spans="1:12" x14ac:dyDescent="0.3">
      <c r="A865">
        <v>1864</v>
      </c>
      <c r="B865" s="1">
        <v>45562</v>
      </c>
      <c r="C865">
        <v>2024</v>
      </c>
      <c r="D865" t="s">
        <v>42</v>
      </c>
      <c r="E865" t="s">
        <v>24</v>
      </c>
      <c r="F865" t="s">
        <v>32</v>
      </c>
      <c r="G865" t="s">
        <v>33</v>
      </c>
      <c r="H865" t="s">
        <v>16</v>
      </c>
      <c r="I865" t="s">
        <v>17</v>
      </c>
      <c r="J865">
        <v>66325</v>
      </c>
      <c r="K865">
        <v>48870</v>
      </c>
      <c r="L865">
        <v>4</v>
      </c>
    </row>
    <row r="866" spans="1:12" x14ac:dyDescent="0.3">
      <c r="A866">
        <v>1865</v>
      </c>
      <c r="B866" s="1">
        <v>45009</v>
      </c>
      <c r="C866">
        <v>2023</v>
      </c>
      <c r="D866" t="s">
        <v>49</v>
      </c>
      <c r="E866" t="s">
        <v>13</v>
      </c>
      <c r="F866" t="s">
        <v>14</v>
      </c>
      <c r="G866" t="s">
        <v>15</v>
      </c>
      <c r="H866" t="s">
        <v>34</v>
      </c>
      <c r="I866" t="s">
        <v>23</v>
      </c>
      <c r="J866">
        <v>15242</v>
      </c>
      <c r="K866">
        <v>12610</v>
      </c>
      <c r="L866">
        <v>2</v>
      </c>
    </row>
    <row r="867" spans="1:12" x14ac:dyDescent="0.3">
      <c r="A867">
        <v>1866</v>
      </c>
      <c r="B867" s="1">
        <v>45440</v>
      </c>
      <c r="C867">
        <v>2024</v>
      </c>
      <c r="D867" t="s">
        <v>18</v>
      </c>
      <c r="E867" t="s">
        <v>24</v>
      </c>
      <c r="F867" t="s">
        <v>25</v>
      </c>
      <c r="G867" t="s">
        <v>29</v>
      </c>
      <c r="H867" t="s">
        <v>30</v>
      </c>
      <c r="I867" t="s">
        <v>23</v>
      </c>
      <c r="J867">
        <v>6491</v>
      </c>
      <c r="K867">
        <v>5148</v>
      </c>
      <c r="L867">
        <v>1</v>
      </c>
    </row>
    <row r="868" spans="1:12" x14ac:dyDescent="0.3">
      <c r="A868">
        <v>1867</v>
      </c>
      <c r="B868" s="1">
        <v>44953</v>
      </c>
      <c r="C868">
        <v>2023</v>
      </c>
      <c r="D868" t="s">
        <v>35</v>
      </c>
      <c r="E868" t="s">
        <v>13</v>
      </c>
      <c r="F868" t="s">
        <v>14</v>
      </c>
      <c r="G868" t="s">
        <v>15</v>
      </c>
      <c r="H868" t="s">
        <v>16</v>
      </c>
      <c r="I868" t="s">
        <v>17</v>
      </c>
      <c r="J868">
        <v>51215</v>
      </c>
      <c r="K868">
        <v>41958</v>
      </c>
      <c r="L868">
        <v>2</v>
      </c>
    </row>
    <row r="869" spans="1:12" x14ac:dyDescent="0.3">
      <c r="A869">
        <v>1868</v>
      </c>
      <c r="B869" s="1">
        <v>45229</v>
      </c>
      <c r="C869">
        <v>2023</v>
      </c>
      <c r="D869" t="s">
        <v>12</v>
      </c>
      <c r="E869" t="s">
        <v>13</v>
      </c>
      <c r="F869" t="s">
        <v>14</v>
      </c>
      <c r="G869" t="s">
        <v>15</v>
      </c>
      <c r="H869" t="s">
        <v>16</v>
      </c>
      <c r="I869" t="s">
        <v>17</v>
      </c>
      <c r="J869">
        <v>65098</v>
      </c>
      <c r="K869">
        <v>53936</v>
      </c>
      <c r="L869">
        <v>1</v>
      </c>
    </row>
    <row r="870" spans="1:12" x14ac:dyDescent="0.3">
      <c r="A870">
        <v>1869</v>
      </c>
      <c r="B870" s="1">
        <v>44980</v>
      </c>
      <c r="C870">
        <v>2023</v>
      </c>
      <c r="D870" t="s">
        <v>45</v>
      </c>
      <c r="E870" t="s">
        <v>13</v>
      </c>
      <c r="F870" t="s">
        <v>43</v>
      </c>
      <c r="G870" t="s">
        <v>44</v>
      </c>
      <c r="H870" t="s">
        <v>22</v>
      </c>
      <c r="I870" t="s">
        <v>23</v>
      </c>
      <c r="J870">
        <v>4664</v>
      </c>
      <c r="K870">
        <v>3057</v>
      </c>
      <c r="L870">
        <v>5</v>
      </c>
    </row>
    <row r="871" spans="1:12" x14ac:dyDescent="0.3">
      <c r="A871">
        <v>1870</v>
      </c>
      <c r="B871" s="1">
        <v>45214</v>
      </c>
      <c r="C871">
        <v>2023</v>
      </c>
      <c r="D871" t="s">
        <v>12</v>
      </c>
      <c r="E871" t="s">
        <v>13</v>
      </c>
      <c r="F871" t="s">
        <v>36</v>
      </c>
      <c r="G871" t="s">
        <v>37</v>
      </c>
      <c r="H871" t="s">
        <v>16</v>
      </c>
      <c r="I871" t="s">
        <v>17</v>
      </c>
      <c r="J871">
        <v>59564</v>
      </c>
      <c r="K871">
        <v>44633</v>
      </c>
      <c r="L871">
        <v>2</v>
      </c>
    </row>
    <row r="872" spans="1:12" x14ac:dyDescent="0.3">
      <c r="A872">
        <v>1871</v>
      </c>
      <c r="B872" s="1">
        <v>44965</v>
      </c>
      <c r="C872">
        <v>2023</v>
      </c>
      <c r="D872" t="s">
        <v>45</v>
      </c>
      <c r="E872" t="s">
        <v>13</v>
      </c>
      <c r="F872" t="s">
        <v>43</v>
      </c>
      <c r="G872" t="s">
        <v>44</v>
      </c>
      <c r="H872" t="s">
        <v>34</v>
      </c>
      <c r="I872" t="s">
        <v>23</v>
      </c>
      <c r="J872">
        <v>39425</v>
      </c>
      <c r="K872">
        <v>30020</v>
      </c>
      <c r="L872">
        <v>1</v>
      </c>
    </row>
    <row r="873" spans="1:12" x14ac:dyDescent="0.3">
      <c r="A873">
        <v>1872</v>
      </c>
      <c r="B873" s="1">
        <v>45212</v>
      </c>
      <c r="C873">
        <v>2023</v>
      </c>
      <c r="D873" t="s">
        <v>12</v>
      </c>
      <c r="E873" t="s">
        <v>24</v>
      </c>
      <c r="F873" t="s">
        <v>25</v>
      </c>
      <c r="G873" t="s">
        <v>29</v>
      </c>
      <c r="H873" t="s">
        <v>41</v>
      </c>
      <c r="I873" t="s">
        <v>23</v>
      </c>
      <c r="J873">
        <v>11583</v>
      </c>
      <c r="K873">
        <v>9708</v>
      </c>
      <c r="L873">
        <v>2</v>
      </c>
    </row>
    <row r="874" spans="1:12" x14ac:dyDescent="0.3">
      <c r="A874">
        <v>1873</v>
      </c>
      <c r="B874" s="1">
        <v>45437</v>
      </c>
      <c r="C874">
        <v>2024</v>
      </c>
      <c r="D874" t="s">
        <v>18</v>
      </c>
      <c r="E874" t="s">
        <v>13</v>
      </c>
      <c r="F874" t="s">
        <v>43</v>
      </c>
      <c r="G874" t="s">
        <v>44</v>
      </c>
      <c r="H874" t="s">
        <v>30</v>
      </c>
      <c r="I874" t="s">
        <v>23</v>
      </c>
      <c r="J874">
        <v>14905</v>
      </c>
      <c r="K874">
        <v>10851</v>
      </c>
      <c r="L874">
        <v>3</v>
      </c>
    </row>
    <row r="875" spans="1:12" x14ac:dyDescent="0.3">
      <c r="A875">
        <v>1874</v>
      </c>
      <c r="B875" s="1">
        <v>45599</v>
      </c>
      <c r="C875">
        <v>2024</v>
      </c>
      <c r="D875" t="s">
        <v>39</v>
      </c>
      <c r="E875" t="s">
        <v>24</v>
      </c>
      <c r="F875" t="s">
        <v>25</v>
      </c>
      <c r="G875" t="s">
        <v>26</v>
      </c>
      <c r="H875" t="s">
        <v>34</v>
      </c>
      <c r="I875" t="s">
        <v>23</v>
      </c>
      <c r="J875">
        <v>37412</v>
      </c>
      <c r="K875">
        <v>27168</v>
      </c>
      <c r="L875">
        <v>4</v>
      </c>
    </row>
    <row r="876" spans="1:12" x14ac:dyDescent="0.3">
      <c r="A876">
        <v>1875</v>
      </c>
      <c r="B876" s="1">
        <v>45480</v>
      </c>
      <c r="C876">
        <v>2024</v>
      </c>
      <c r="D876" t="s">
        <v>28</v>
      </c>
      <c r="E876" t="s">
        <v>24</v>
      </c>
      <c r="F876" t="s">
        <v>25</v>
      </c>
      <c r="G876" t="s">
        <v>26</v>
      </c>
      <c r="H876" t="s">
        <v>30</v>
      </c>
      <c r="I876" t="s">
        <v>23</v>
      </c>
      <c r="J876">
        <v>11586</v>
      </c>
      <c r="K876">
        <v>9657</v>
      </c>
      <c r="L876">
        <v>4</v>
      </c>
    </row>
    <row r="877" spans="1:12" x14ac:dyDescent="0.3">
      <c r="A877">
        <v>1876</v>
      </c>
      <c r="B877" s="1">
        <v>45241</v>
      </c>
      <c r="C877">
        <v>2023</v>
      </c>
      <c r="D877" t="s">
        <v>39</v>
      </c>
      <c r="E877" t="s">
        <v>13</v>
      </c>
      <c r="F877" t="s">
        <v>36</v>
      </c>
      <c r="G877" t="s">
        <v>37</v>
      </c>
      <c r="H877" t="s">
        <v>22</v>
      </c>
      <c r="I877" t="s">
        <v>23</v>
      </c>
      <c r="J877">
        <v>3399</v>
      </c>
      <c r="K877">
        <v>2185</v>
      </c>
      <c r="L877">
        <v>1</v>
      </c>
    </row>
    <row r="878" spans="1:12" x14ac:dyDescent="0.3">
      <c r="A878">
        <v>1877</v>
      </c>
      <c r="B878" s="1">
        <v>45057</v>
      </c>
      <c r="C878">
        <v>2023</v>
      </c>
      <c r="D878" t="s">
        <v>18</v>
      </c>
      <c r="E878" t="s">
        <v>13</v>
      </c>
      <c r="F878" t="s">
        <v>14</v>
      </c>
      <c r="G878" t="s">
        <v>15</v>
      </c>
      <c r="H878" t="s">
        <v>41</v>
      </c>
      <c r="I878" t="s">
        <v>23</v>
      </c>
      <c r="J878">
        <v>10455</v>
      </c>
      <c r="K878">
        <v>6866</v>
      </c>
      <c r="L878">
        <v>3</v>
      </c>
    </row>
    <row r="879" spans="1:12" x14ac:dyDescent="0.3">
      <c r="A879">
        <v>1878</v>
      </c>
      <c r="B879" s="1">
        <v>45015</v>
      </c>
      <c r="C879">
        <v>2023</v>
      </c>
      <c r="D879" t="s">
        <v>49</v>
      </c>
      <c r="E879" t="s">
        <v>13</v>
      </c>
      <c r="F879" t="s">
        <v>14</v>
      </c>
      <c r="G879" t="s">
        <v>15</v>
      </c>
      <c r="H879" t="s">
        <v>16</v>
      </c>
      <c r="I879" t="s">
        <v>17</v>
      </c>
      <c r="J879">
        <v>50567</v>
      </c>
      <c r="K879">
        <v>41067</v>
      </c>
      <c r="L879">
        <v>5</v>
      </c>
    </row>
    <row r="880" spans="1:12" x14ac:dyDescent="0.3">
      <c r="A880">
        <v>1879</v>
      </c>
      <c r="B880" s="1">
        <v>45547</v>
      </c>
      <c r="C880">
        <v>2024</v>
      </c>
      <c r="D880" t="s">
        <v>42</v>
      </c>
      <c r="E880" t="s">
        <v>19</v>
      </c>
      <c r="F880" t="s">
        <v>20</v>
      </c>
      <c r="G880" t="s">
        <v>21</v>
      </c>
      <c r="H880" t="s">
        <v>22</v>
      </c>
      <c r="I880" t="s">
        <v>23</v>
      </c>
      <c r="J880">
        <v>8141</v>
      </c>
      <c r="K880">
        <v>5562</v>
      </c>
      <c r="L880">
        <v>4</v>
      </c>
    </row>
    <row r="881" spans="1:12" x14ac:dyDescent="0.3">
      <c r="A881">
        <v>1880</v>
      </c>
      <c r="B881" s="1">
        <v>45177</v>
      </c>
      <c r="C881">
        <v>2023</v>
      </c>
      <c r="D881" t="s">
        <v>42</v>
      </c>
      <c r="E881" t="s">
        <v>24</v>
      </c>
      <c r="F881" t="s">
        <v>32</v>
      </c>
      <c r="G881" t="s">
        <v>33</v>
      </c>
      <c r="H881" t="s">
        <v>27</v>
      </c>
      <c r="I881" t="s">
        <v>17</v>
      </c>
      <c r="J881">
        <v>28611</v>
      </c>
      <c r="K881">
        <v>19278</v>
      </c>
      <c r="L881">
        <v>4</v>
      </c>
    </row>
    <row r="882" spans="1:12" x14ac:dyDescent="0.3">
      <c r="A882">
        <v>1881</v>
      </c>
      <c r="B882" s="1">
        <v>45247</v>
      </c>
      <c r="C882">
        <v>2023</v>
      </c>
      <c r="D882" t="s">
        <v>39</v>
      </c>
      <c r="E882" t="s">
        <v>19</v>
      </c>
      <c r="F882" t="s">
        <v>20</v>
      </c>
      <c r="G882" t="s">
        <v>21</v>
      </c>
      <c r="H882" t="s">
        <v>16</v>
      </c>
      <c r="I882" t="s">
        <v>17</v>
      </c>
      <c r="J882">
        <v>48234</v>
      </c>
      <c r="K882">
        <v>35829</v>
      </c>
      <c r="L882">
        <v>1</v>
      </c>
    </row>
    <row r="883" spans="1:12" x14ac:dyDescent="0.3">
      <c r="A883">
        <v>1882</v>
      </c>
      <c r="B883" s="1">
        <v>45374</v>
      </c>
      <c r="C883">
        <v>2024</v>
      </c>
      <c r="D883" t="s">
        <v>49</v>
      </c>
      <c r="E883" t="s">
        <v>24</v>
      </c>
      <c r="F883" t="s">
        <v>25</v>
      </c>
      <c r="G883" t="s">
        <v>26</v>
      </c>
      <c r="H883" t="s">
        <v>46</v>
      </c>
      <c r="I883" t="s">
        <v>17</v>
      </c>
      <c r="J883">
        <v>21529</v>
      </c>
      <c r="K883">
        <v>15324</v>
      </c>
      <c r="L883">
        <v>2</v>
      </c>
    </row>
    <row r="884" spans="1:12" x14ac:dyDescent="0.3">
      <c r="A884">
        <v>1883</v>
      </c>
      <c r="B884" s="1">
        <v>45324</v>
      </c>
      <c r="C884">
        <v>2024</v>
      </c>
      <c r="D884" t="s">
        <v>45</v>
      </c>
      <c r="E884" t="s">
        <v>24</v>
      </c>
      <c r="F884" t="s">
        <v>25</v>
      </c>
      <c r="G884" t="s">
        <v>29</v>
      </c>
      <c r="H884" t="s">
        <v>30</v>
      </c>
      <c r="I884" t="s">
        <v>23</v>
      </c>
      <c r="J884">
        <v>11059</v>
      </c>
      <c r="K884">
        <v>8925</v>
      </c>
      <c r="L884">
        <v>4</v>
      </c>
    </row>
    <row r="885" spans="1:12" x14ac:dyDescent="0.3">
      <c r="A885">
        <v>1884</v>
      </c>
      <c r="B885" s="1">
        <v>45427</v>
      </c>
      <c r="C885">
        <v>2024</v>
      </c>
      <c r="D885" t="s">
        <v>18</v>
      </c>
      <c r="E885" t="s">
        <v>24</v>
      </c>
      <c r="F885" t="s">
        <v>25</v>
      </c>
      <c r="G885" t="s">
        <v>26</v>
      </c>
      <c r="H885" t="s">
        <v>34</v>
      </c>
      <c r="I885" t="s">
        <v>23</v>
      </c>
      <c r="J885">
        <v>31395</v>
      </c>
      <c r="K885">
        <v>21846</v>
      </c>
      <c r="L885">
        <v>1</v>
      </c>
    </row>
    <row r="886" spans="1:12" x14ac:dyDescent="0.3">
      <c r="A886">
        <v>1885</v>
      </c>
      <c r="B886" s="1">
        <v>45035</v>
      </c>
      <c r="C886">
        <v>2023</v>
      </c>
      <c r="D886" t="s">
        <v>38</v>
      </c>
      <c r="E886" t="s">
        <v>24</v>
      </c>
      <c r="F886" t="s">
        <v>25</v>
      </c>
      <c r="G886" t="s">
        <v>29</v>
      </c>
      <c r="H886" t="s">
        <v>34</v>
      </c>
      <c r="I886" t="s">
        <v>23</v>
      </c>
      <c r="J886">
        <v>36634</v>
      </c>
      <c r="K886">
        <v>25603</v>
      </c>
      <c r="L886">
        <v>5</v>
      </c>
    </row>
    <row r="887" spans="1:12" x14ac:dyDescent="0.3">
      <c r="A887">
        <v>1886</v>
      </c>
      <c r="B887" s="1">
        <v>45529</v>
      </c>
      <c r="C887">
        <v>2024</v>
      </c>
      <c r="D887" t="s">
        <v>48</v>
      </c>
      <c r="E887" t="s">
        <v>13</v>
      </c>
      <c r="F887" t="s">
        <v>14</v>
      </c>
      <c r="G887" t="s">
        <v>15</v>
      </c>
      <c r="H887" t="s">
        <v>30</v>
      </c>
      <c r="I887" t="s">
        <v>23</v>
      </c>
      <c r="J887">
        <v>7058</v>
      </c>
      <c r="K887">
        <v>5523</v>
      </c>
      <c r="L887">
        <v>2</v>
      </c>
    </row>
    <row r="888" spans="1:12" x14ac:dyDescent="0.3">
      <c r="A888">
        <v>1887</v>
      </c>
      <c r="B888" s="1">
        <v>45467</v>
      </c>
      <c r="C888">
        <v>2024</v>
      </c>
      <c r="D888" t="s">
        <v>31</v>
      </c>
      <c r="E888" t="s">
        <v>19</v>
      </c>
      <c r="F888" t="s">
        <v>40</v>
      </c>
      <c r="G888" t="s">
        <v>40</v>
      </c>
      <c r="H888" t="s">
        <v>41</v>
      </c>
      <c r="I888" t="s">
        <v>23</v>
      </c>
      <c r="J888">
        <v>18003</v>
      </c>
      <c r="K888">
        <v>13772</v>
      </c>
      <c r="L888">
        <v>5</v>
      </c>
    </row>
    <row r="889" spans="1:12" x14ac:dyDescent="0.3">
      <c r="A889">
        <v>1888</v>
      </c>
      <c r="B889" s="1">
        <v>45377</v>
      </c>
      <c r="C889">
        <v>2024</v>
      </c>
      <c r="D889" t="s">
        <v>49</v>
      </c>
      <c r="E889" t="s">
        <v>13</v>
      </c>
      <c r="F889" t="s">
        <v>43</v>
      </c>
      <c r="G889" t="s">
        <v>44</v>
      </c>
      <c r="H889" t="s">
        <v>41</v>
      </c>
      <c r="I889" t="s">
        <v>23</v>
      </c>
      <c r="J889">
        <v>9183</v>
      </c>
      <c r="K889">
        <v>6194</v>
      </c>
      <c r="L889">
        <v>4</v>
      </c>
    </row>
    <row r="890" spans="1:12" x14ac:dyDescent="0.3">
      <c r="A890">
        <v>1889</v>
      </c>
      <c r="B890" s="1">
        <v>45230</v>
      </c>
      <c r="C890">
        <v>2023</v>
      </c>
      <c r="D890" t="s">
        <v>12</v>
      </c>
      <c r="E890" t="s">
        <v>24</v>
      </c>
      <c r="F890" t="s">
        <v>32</v>
      </c>
      <c r="G890" t="s">
        <v>33</v>
      </c>
      <c r="H890" t="s">
        <v>16</v>
      </c>
      <c r="I890" t="s">
        <v>17</v>
      </c>
      <c r="J890">
        <v>58246</v>
      </c>
      <c r="K890">
        <v>38406</v>
      </c>
      <c r="L890">
        <v>1</v>
      </c>
    </row>
    <row r="891" spans="1:12" x14ac:dyDescent="0.3">
      <c r="A891">
        <v>1890</v>
      </c>
      <c r="B891" s="1">
        <v>45195</v>
      </c>
      <c r="C891">
        <v>2023</v>
      </c>
      <c r="D891" t="s">
        <v>42</v>
      </c>
      <c r="E891" t="s">
        <v>13</v>
      </c>
      <c r="F891" t="s">
        <v>43</v>
      </c>
      <c r="G891" t="s">
        <v>44</v>
      </c>
      <c r="H891" t="s">
        <v>41</v>
      </c>
      <c r="I891" t="s">
        <v>23</v>
      </c>
      <c r="J891">
        <v>11074</v>
      </c>
      <c r="K891">
        <v>8352</v>
      </c>
      <c r="L891">
        <v>1</v>
      </c>
    </row>
    <row r="892" spans="1:12" x14ac:dyDescent="0.3">
      <c r="A892">
        <v>1891</v>
      </c>
      <c r="B892" s="1">
        <v>45584</v>
      </c>
      <c r="C892">
        <v>2024</v>
      </c>
      <c r="D892" t="s">
        <v>12</v>
      </c>
      <c r="E892" t="s">
        <v>19</v>
      </c>
      <c r="F892" t="s">
        <v>40</v>
      </c>
      <c r="G892" t="s">
        <v>40</v>
      </c>
      <c r="H892" t="s">
        <v>41</v>
      </c>
      <c r="I892" t="s">
        <v>23</v>
      </c>
      <c r="J892">
        <v>9063</v>
      </c>
      <c r="K892">
        <v>6341</v>
      </c>
      <c r="L892">
        <v>4</v>
      </c>
    </row>
    <row r="893" spans="1:12" x14ac:dyDescent="0.3">
      <c r="A893">
        <v>1892</v>
      </c>
      <c r="B893" s="1">
        <v>45606</v>
      </c>
      <c r="C893">
        <v>2024</v>
      </c>
      <c r="D893" t="s">
        <v>39</v>
      </c>
      <c r="E893" t="s">
        <v>24</v>
      </c>
      <c r="F893" t="s">
        <v>32</v>
      </c>
      <c r="G893" t="s">
        <v>33</v>
      </c>
      <c r="H893" t="s">
        <v>34</v>
      </c>
      <c r="I893" t="s">
        <v>23</v>
      </c>
      <c r="J893">
        <v>27381</v>
      </c>
      <c r="K893">
        <v>22710</v>
      </c>
      <c r="L893">
        <v>5</v>
      </c>
    </row>
    <row r="894" spans="1:12" x14ac:dyDescent="0.3">
      <c r="A894">
        <v>1893</v>
      </c>
      <c r="B894" s="1">
        <v>44998</v>
      </c>
      <c r="C894">
        <v>2023</v>
      </c>
      <c r="D894" t="s">
        <v>49</v>
      </c>
      <c r="E894" t="s">
        <v>13</v>
      </c>
      <c r="F894" t="s">
        <v>36</v>
      </c>
      <c r="G894" t="s">
        <v>37</v>
      </c>
      <c r="H894" t="s">
        <v>27</v>
      </c>
      <c r="I894" t="s">
        <v>17</v>
      </c>
      <c r="J894">
        <v>29837</v>
      </c>
      <c r="K894">
        <v>20629</v>
      </c>
      <c r="L894">
        <v>3</v>
      </c>
    </row>
    <row r="895" spans="1:12" x14ac:dyDescent="0.3">
      <c r="A895">
        <v>1894</v>
      </c>
      <c r="B895" s="1">
        <v>45054</v>
      </c>
      <c r="C895">
        <v>2023</v>
      </c>
      <c r="D895" t="s">
        <v>18</v>
      </c>
      <c r="E895" t="s">
        <v>19</v>
      </c>
      <c r="F895" t="s">
        <v>20</v>
      </c>
      <c r="G895" t="s">
        <v>21</v>
      </c>
      <c r="H895" t="s">
        <v>46</v>
      </c>
      <c r="I895" t="s">
        <v>17</v>
      </c>
      <c r="J895">
        <v>19921</v>
      </c>
      <c r="K895">
        <v>11979</v>
      </c>
      <c r="L895">
        <v>4</v>
      </c>
    </row>
    <row r="896" spans="1:12" x14ac:dyDescent="0.3">
      <c r="A896">
        <v>1895</v>
      </c>
      <c r="B896" s="1">
        <v>45513</v>
      </c>
      <c r="C896">
        <v>2024</v>
      </c>
      <c r="D896" t="s">
        <v>48</v>
      </c>
      <c r="E896" t="s">
        <v>13</v>
      </c>
      <c r="F896" t="s">
        <v>43</v>
      </c>
      <c r="G896" t="s">
        <v>44</v>
      </c>
      <c r="H896" t="s">
        <v>27</v>
      </c>
      <c r="I896" t="s">
        <v>17</v>
      </c>
      <c r="J896">
        <v>27967</v>
      </c>
      <c r="K896">
        <v>19956</v>
      </c>
      <c r="L896">
        <v>3</v>
      </c>
    </row>
    <row r="897" spans="1:12" x14ac:dyDescent="0.3">
      <c r="A897">
        <v>1896</v>
      </c>
      <c r="B897" s="1">
        <v>45226</v>
      </c>
      <c r="C897">
        <v>2023</v>
      </c>
      <c r="D897" t="s">
        <v>12</v>
      </c>
      <c r="E897" t="s">
        <v>13</v>
      </c>
      <c r="F897" t="s">
        <v>43</v>
      </c>
      <c r="G897" t="s">
        <v>44</v>
      </c>
      <c r="H897" t="s">
        <v>30</v>
      </c>
      <c r="I897" t="s">
        <v>23</v>
      </c>
      <c r="J897">
        <v>12700</v>
      </c>
      <c r="K897">
        <v>8855</v>
      </c>
      <c r="L897">
        <v>1</v>
      </c>
    </row>
    <row r="898" spans="1:12" x14ac:dyDescent="0.3">
      <c r="A898">
        <v>1897</v>
      </c>
      <c r="B898" s="1">
        <v>45471</v>
      </c>
      <c r="C898">
        <v>2024</v>
      </c>
      <c r="D898" t="s">
        <v>31</v>
      </c>
      <c r="E898" t="s">
        <v>24</v>
      </c>
      <c r="F898" t="s">
        <v>25</v>
      </c>
      <c r="G898" t="s">
        <v>26</v>
      </c>
      <c r="H898" t="s">
        <v>34</v>
      </c>
      <c r="I898" t="s">
        <v>23</v>
      </c>
      <c r="J898">
        <v>23889</v>
      </c>
      <c r="K898">
        <v>15192</v>
      </c>
      <c r="L898">
        <v>5</v>
      </c>
    </row>
    <row r="899" spans="1:12" x14ac:dyDescent="0.3">
      <c r="A899">
        <v>1898</v>
      </c>
      <c r="B899" s="1">
        <v>45391</v>
      </c>
      <c r="C899">
        <v>2024</v>
      </c>
      <c r="D899" t="s">
        <v>38</v>
      </c>
      <c r="E899" t="s">
        <v>24</v>
      </c>
      <c r="F899" t="s">
        <v>25</v>
      </c>
      <c r="G899" t="s">
        <v>26</v>
      </c>
      <c r="H899" t="s">
        <v>34</v>
      </c>
      <c r="I899" t="s">
        <v>23</v>
      </c>
      <c r="J899">
        <v>34259</v>
      </c>
      <c r="K899">
        <v>22998</v>
      </c>
      <c r="L899">
        <v>2</v>
      </c>
    </row>
    <row r="900" spans="1:12" x14ac:dyDescent="0.3">
      <c r="A900">
        <v>1899</v>
      </c>
      <c r="B900" s="1">
        <v>45635</v>
      </c>
      <c r="C900">
        <v>2024</v>
      </c>
      <c r="D900" t="s">
        <v>47</v>
      </c>
      <c r="E900" t="s">
        <v>19</v>
      </c>
      <c r="F900" t="s">
        <v>40</v>
      </c>
      <c r="G900" t="s">
        <v>40</v>
      </c>
      <c r="H900" t="s">
        <v>22</v>
      </c>
      <c r="I900" t="s">
        <v>23</v>
      </c>
      <c r="J900">
        <v>4981</v>
      </c>
      <c r="K900">
        <v>4104</v>
      </c>
      <c r="L900">
        <v>5</v>
      </c>
    </row>
    <row r="901" spans="1:12" x14ac:dyDescent="0.3">
      <c r="A901">
        <v>1900</v>
      </c>
      <c r="B901" s="1">
        <v>45070</v>
      </c>
      <c r="C901">
        <v>2023</v>
      </c>
      <c r="D901" t="s">
        <v>18</v>
      </c>
      <c r="E901" t="s">
        <v>13</v>
      </c>
      <c r="F901" t="s">
        <v>36</v>
      </c>
      <c r="G901" t="s">
        <v>37</v>
      </c>
      <c r="H901" t="s">
        <v>41</v>
      </c>
      <c r="I901" t="s">
        <v>23</v>
      </c>
      <c r="J901">
        <v>7246</v>
      </c>
      <c r="K901">
        <v>4688</v>
      </c>
      <c r="L901">
        <v>5</v>
      </c>
    </row>
    <row r="902" spans="1:12" x14ac:dyDescent="0.3">
      <c r="A902">
        <v>1901</v>
      </c>
      <c r="B902" s="1">
        <v>45454</v>
      </c>
      <c r="C902">
        <v>2024</v>
      </c>
      <c r="D902" t="s">
        <v>31</v>
      </c>
      <c r="E902" t="s">
        <v>13</v>
      </c>
      <c r="F902" t="s">
        <v>36</v>
      </c>
      <c r="G902" t="s">
        <v>37</v>
      </c>
      <c r="H902" t="s">
        <v>46</v>
      </c>
      <c r="I902" t="s">
        <v>17</v>
      </c>
      <c r="J902">
        <v>10564</v>
      </c>
      <c r="K902">
        <v>8360</v>
      </c>
      <c r="L902">
        <v>1</v>
      </c>
    </row>
    <row r="903" spans="1:12" x14ac:dyDescent="0.3">
      <c r="A903">
        <v>1902</v>
      </c>
      <c r="B903" s="1">
        <v>45019</v>
      </c>
      <c r="C903">
        <v>2023</v>
      </c>
      <c r="D903" t="s">
        <v>38</v>
      </c>
      <c r="E903" t="s">
        <v>24</v>
      </c>
      <c r="F903" t="s">
        <v>25</v>
      </c>
      <c r="G903" t="s">
        <v>29</v>
      </c>
      <c r="H903" t="s">
        <v>41</v>
      </c>
      <c r="I903" t="s">
        <v>23</v>
      </c>
      <c r="J903">
        <v>9594</v>
      </c>
      <c r="K903">
        <v>7798</v>
      </c>
      <c r="L903">
        <v>2</v>
      </c>
    </row>
    <row r="904" spans="1:12" x14ac:dyDescent="0.3">
      <c r="A904">
        <v>1903</v>
      </c>
      <c r="B904" s="1">
        <v>45012</v>
      </c>
      <c r="C904">
        <v>2023</v>
      </c>
      <c r="D904" t="s">
        <v>49</v>
      </c>
      <c r="E904" t="s">
        <v>13</v>
      </c>
      <c r="F904" t="s">
        <v>43</v>
      </c>
      <c r="G904" t="s">
        <v>44</v>
      </c>
      <c r="H904" t="s">
        <v>30</v>
      </c>
      <c r="I904" t="s">
        <v>23</v>
      </c>
      <c r="J904">
        <v>13784</v>
      </c>
      <c r="K904">
        <v>11403</v>
      </c>
      <c r="L904">
        <v>3</v>
      </c>
    </row>
    <row r="905" spans="1:12" x14ac:dyDescent="0.3">
      <c r="A905">
        <v>1904</v>
      </c>
      <c r="B905" s="1">
        <v>45574</v>
      </c>
      <c r="C905">
        <v>2024</v>
      </c>
      <c r="D905" t="s">
        <v>12</v>
      </c>
      <c r="E905" t="s">
        <v>19</v>
      </c>
      <c r="F905" t="s">
        <v>20</v>
      </c>
      <c r="G905" t="s">
        <v>21</v>
      </c>
      <c r="H905" t="s">
        <v>41</v>
      </c>
      <c r="I905" t="s">
        <v>23</v>
      </c>
      <c r="J905">
        <v>18765</v>
      </c>
      <c r="K905">
        <v>12509</v>
      </c>
      <c r="L905">
        <v>5</v>
      </c>
    </row>
    <row r="906" spans="1:12" x14ac:dyDescent="0.3">
      <c r="A906">
        <v>1905</v>
      </c>
      <c r="B906" s="1">
        <v>45622</v>
      </c>
      <c r="C906">
        <v>2024</v>
      </c>
      <c r="D906" t="s">
        <v>39</v>
      </c>
      <c r="E906" t="s">
        <v>24</v>
      </c>
      <c r="F906" t="s">
        <v>32</v>
      </c>
      <c r="G906" t="s">
        <v>33</v>
      </c>
      <c r="H906" t="s">
        <v>34</v>
      </c>
      <c r="I906" t="s">
        <v>23</v>
      </c>
      <c r="J906">
        <v>30612</v>
      </c>
      <c r="K906">
        <v>23541</v>
      </c>
      <c r="L906">
        <v>2</v>
      </c>
    </row>
    <row r="907" spans="1:12" x14ac:dyDescent="0.3">
      <c r="A907">
        <v>1906</v>
      </c>
      <c r="B907" s="1">
        <v>45172</v>
      </c>
      <c r="C907">
        <v>2023</v>
      </c>
      <c r="D907" t="s">
        <v>42</v>
      </c>
      <c r="E907" t="s">
        <v>24</v>
      </c>
      <c r="F907" t="s">
        <v>25</v>
      </c>
      <c r="G907" t="s">
        <v>29</v>
      </c>
      <c r="H907" t="s">
        <v>34</v>
      </c>
      <c r="I907" t="s">
        <v>23</v>
      </c>
      <c r="J907">
        <v>15404</v>
      </c>
      <c r="K907">
        <v>10848</v>
      </c>
      <c r="L907">
        <v>4</v>
      </c>
    </row>
    <row r="908" spans="1:12" x14ac:dyDescent="0.3">
      <c r="A908">
        <v>1907</v>
      </c>
      <c r="B908" s="1">
        <v>44986</v>
      </c>
      <c r="C908">
        <v>2023</v>
      </c>
      <c r="D908" t="s">
        <v>49</v>
      </c>
      <c r="E908" t="s">
        <v>24</v>
      </c>
      <c r="F908" t="s">
        <v>32</v>
      </c>
      <c r="G908" t="s">
        <v>33</v>
      </c>
      <c r="H908" t="s">
        <v>34</v>
      </c>
      <c r="I908" t="s">
        <v>23</v>
      </c>
      <c r="J908">
        <v>22865</v>
      </c>
      <c r="K908">
        <v>17306</v>
      </c>
      <c r="L908">
        <v>5</v>
      </c>
    </row>
    <row r="909" spans="1:12" x14ac:dyDescent="0.3">
      <c r="A909">
        <v>1908</v>
      </c>
      <c r="B909" s="1">
        <v>45060</v>
      </c>
      <c r="C909">
        <v>2023</v>
      </c>
      <c r="D909" t="s">
        <v>18</v>
      </c>
      <c r="E909" t="s">
        <v>13</v>
      </c>
      <c r="F909" t="s">
        <v>36</v>
      </c>
      <c r="G909" t="s">
        <v>37</v>
      </c>
      <c r="H909" t="s">
        <v>34</v>
      </c>
      <c r="I909" t="s">
        <v>23</v>
      </c>
      <c r="J909">
        <v>31508</v>
      </c>
      <c r="K909">
        <v>24262</v>
      </c>
      <c r="L909">
        <v>1</v>
      </c>
    </row>
    <row r="910" spans="1:12" x14ac:dyDescent="0.3">
      <c r="A910">
        <v>1909</v>
      </c>
      <c r="B910" s="1">
        <v>45536</v>
      </c>
      <c r="C910">
        <v>2024</v>
      </c>
      <c r="D910" t="s">
        <v>42</v>
      </c>
      <c r="E910" t="s">
        <v>13</v>
      </c>
      <c r="F910" t="s">
        <v>43</v>
      </c>
      <c r="G910" t="s">
        <v>44</v>
      </c>
      <c r="H910" t="s">
        <v>16</v>
      </c>
      <c r="I910" t="s">
        <v>17</v>
      </c>
      <c r="J910">
        <v>63198</v>
      </c>
      <c r="K910">
        <v>50863</v>
      </c>
      <c r="L910">
        <v>2</v>
      </c>
    </row>
    <row r="911" spans="1:12" x14ac:dyDescent="0.3">
      <c r="A911">
        <v>1910</v>
      </c>
      <c r="B911" s="1">
        <v>45301</v>
      </c>
      <c r="C911">
        <v>2024</v>
      </c>
      <c r="D911" t="s">
        <v>35</v>
      </c>
      <c r="E911" t="s">
        <v>19</v>
      </c>
      <c r="F911" t="s">
        <v>20</v>
      </c>
      <c r="G911" t="s">
        <v>21</v>
      </c>
      <c r="H911" t="s">
        <v>46</v>
      </c>
      <c r="I911" t="s">
        <v>17</v>
      </c>
      <c r="J911">
        <v>10732</v>
      </c>
      <c r="K911">
        <v>6820</v>
      </c>
      <c r="L911">
        <v>4</v>
      </c>
    </row>
    <row r="912" spans="1:12" x14ac:dyDescent="0.3">
      <c r="A912">
        <v>1911</v>
      </c>
      <c r="B912" s="1">
        <v>45152</v>
      </c>
      <c r="C912">
        <v>2023</v>
      </c>
      <c r="D912" t="s">
        <v>48</v>
      </c>
      <c r="E912" t="s">
        <v>24</v>
      </c>
      <c r="F912" t="s">
        <v>32</v>
      </c>
      <c r="G912" t="s">
        <v>33</v>
      </c>
      <c r="H912" t="s">
        <v>27</v>
      </c>
      <c r="I912" t="s">
        <v>17</v>
      </c>
      <c r="J912">
        <v>19960</v>
      </c>
      <c r="K912">
        <v>12815</v>
      </c>
      <c r="L912">
        <v>3</v>
      </c>
    </row>
    <row r="913" spans="1:12" x14ac:dyDescent="0.3">
      <c r="A913">
        <v>1912</v>
      </c>
      <c r="B913" s="1">
        <v>45317</v>
      </c>
      <c r="C913">
        <v>2024</v>
      </c>
      <c r="D913" t="s">
        <v>35</v>
      </c>
      <c r="E913" t="s">
        <v>19</v>
      </c>
      <c r="F913" t="s">
        <v>40</v>
      </c>
      <c r="G913" t="s">
        <v>40</v>
      </c>
      <c r="H913" t="s">
        <v>46</v>
      </c>
      <c r="I913" t="s">
        <v>17</v>
      </c>
      <c r="J913">
        <v>14883</v>
      </c>
      <c r="K913">
        <v>11342</v>
      </c>
      <c r="L913">
        <v>5</v>
      </c>
    </row>
    <row r="914" spans="1:12" x14ac:dyDescent="0.3">
      <c r="A914">
        <v>1913</v>
      </c>
      <c r="B914" s="1">
        <v>45089</v>
      </c>
      <c r="C914">
        <v>2023</v>
      </c>
      <c r="D914" t="s">
        <v>31</v>
      </c>
      <c r="E914" t="s">
        <v>24</v>
      </c>
      <c r="F914" t="s">
        <v>32</v>
      </c>
      <c r="G914" t="s">
        <v>33</v>
      </c>
      <c r="H914" t="s">
        <v>46</v>
      </c>
      <c r="I914" t="s">
        <v>17</v>
      </c>
      <c r="J914">
        <v>11906</v>
      </c>
      <c r="K914">
        <v>9701</v>
      </c>
      <c r="L914">
        <v>4</v>
      </c>
    </row>
    <row r="915" spans="1:12" x14ac:dyDescent="0.3">
      <c r="A915">
        <v>1914</v>
      </c>
      <c r="B915" s="1">
        <v>45340</v>
      </c>
      <c r="C915">
        <v>2024</v>
      </c>
      <c r="D915" t="s">
        <v>45</v>
      </c>
      <c r="E915" t="s">
        <v>13</v>
      </c>
      <c r="F915" t="s">
        <v>14</v>
      </c>
      <c r="G915" t="s">
        <v>15</v>
      </c>
      <c r="H915" t="s">
        <v>22</v>
      </c>
      <c r="I915" t="s">
        <v>23</v>
      </c>
      <c r="J915">
        <v>9571</v>
      </c>
      <c r="K915">
        <v>5753</v>
      </c>
      <c r="L915">
        <v>3</v>
      </c>
    </row>
    <row r="916" spans="1:12" x14ac:dyDescent="0.3">
      <c r="A916">
        <v>1915</v>
      </c>
      <c r="B916" s="1">
        <v>45098</v>
      </c>
      <c r="C916">
        <v>2023</v>
      </c>
      <c r="D916" t="s">
        <v>31</v>
      </c>
      <c r="E916" t="s">
        <v>24</v>
      </c>
      <c r="F916" t="s">
        <v>32</v>
      </c>
      <c r="G916" t="s">
        <v>33</v>
      </c>
      <c r="H916" t="s">
        <v>27</v>
      </c>
      <c r="I916" t="s">
        <v>17</v>
      </c>
      <c r="J916">
        <v>24488</v>
      </c>
      <c r="K916">
        <v>18430</v>
      </c>
      <c r="L916">
        <v>5</v>
      </c>
    </row>
    <row r="917" spans="1:12" x14ac:dyDescent="0.3">
      <c r="A917">
        <v>1916</v>
      </c>
      <c r="B917" s="1">
        <v>45147</v>
      </c>
      <c r="C917">
        <v>2023</v>
      </c>
      <c r="D917" t="s">
        <v>48</v>
      </c>
      <c r="E917" t="s">
        <v>24</v>
      </c>
      <c r="F917" t="s">
        <v>25</v>
      </c>
      <c r="G917" t="s">
        <v>29</v>
      </c>
      <c r="H917" t="s">
        <v>27</v>
      </c>
      <c r="I917" t="s">
        <v>17</v>
      </c>
      <c r="J917">
        <v>24947</v>
      </c>
      <c r="K917">
        <v>18094</v>
      </c>
      <c r="L917">
        <v>3</v>
      </c>
    </row>
    <row r="918" spans="1:12" x14ac:dyDescent="0.3">
      <c r="A918">
        <v>1917</v>
      </c>
      <c r="B918" s="1">
        <v>45498</v>
      </c>
      <c r="C918">
        <v>2024</v>
      </c>
      <c r="D918" t="s">
        <v>28</v>
      </c>
      <c r="E918" t="s">
        <v>19</v>
      </c>
      <c r="F918" t="s">
        <v>20</v>
      </c>
      <c r="G918" t="s">
        <v>21</v>
      </c>
      <c r="H918" t="s">
        <v>22</v>
      </c>
      <c r="I918" t="s">
        <v>23</v>
      </c>
      <c r="J918">
        <v>3333</v>
      </c>
      <c r="K918">
        <v>2494</v>
      </c>
      <c r="L918">
        <v>3</v>
      </c>
    </row>
    <row r="919" spans="1:12" x14ac:dyDescent="0.3">
      <c r="A919">
        <v>1918</v>
      </c>
      <c r="B919" s="1">
        <v>45406</v>
      </c>
      <c r="C919">
        <v>2024</v>
      </c>
      <c r="D919" t="s">
        <v>38</v>
      </c>
      <c r="E919" t="s">
        <v>19</v>
      </c>
      <c r="F919" t="s">
        <v>20</v>
      </c>
      <c r="G919" t="s">
        <v>21</v>
      </c>
      <c r="H919" t="s">
        <v>30</v>
      </c>
      <c r="I919" t="s">
        <v>23</v>
      </c>
      <c r="J919">
        <v>10136</v>
      </c>
      <c r="K919">
        <v>7299</v>
      </c>
      <c r="L919">
        <v>4</v>
      </c>
    </row>
    <row r="920" spans="1:12" x14ac:dyDescent="0.3">
      <c r="A920">
        <v>1919</v>
      </c>
      <c r="B920" s="1">
        <v>45205</v>
      </c>
      <c r="C920">
        <v>2023</v>
      </c>
      <c r="D920" t="s">
        <v>12</v>
      </c>
      <c r="E920" t="s">
        <v>13</v>
      </c>
      <c r="F920" t="s">
        <v>43</v>
      </c>
      <c r="G920" t="s">
        <v>44</v>
      </c>
      <c r="H920" t="s">
        <v>41</v>
      </c>
      <c r="I920" t="s">
        <v>23</v>
      </c>
      <c r="J920">
        <v>7138</v>
      </c>
      <c r="K920">
        <v>5539</v>
      </c>
      <c r="L920">
        <v>3</v>
      </c>
    </row>
    <row r="921" spans="1:12" x14ac:dyDescent="0.3">
      <c r="A921">
        <v>1920</v>
      </c>
      <c r="B921" s="1">
        <v>45421</v>
      </c>
      <c r="C921">
        <v>2024</v>
      </c>
      <c r="D921" t="s">
        <v>18</v>
      </c>
      <c r="E921" t="s">
        <v>13</v>
      </c>
      <c r="F921" t="s">
        <v>43</v>
      </c>
      <c r="G921" t="s">
        <v>44</v>
      </c>
      <c r="H921" t="s">
        <v>30</v>
      </c>
      <c r="I921" t="s">
        <v>23</v>
      </c>
      <c r="J921">
        <v>14064</v>
      </c>
      <c r="K921">
        <v>10682</v>
      </c>
      <c r="L921">
        <v>4</v>
      </c>
    </row>
    <row r="922" spans="1:12" x14ac:dyDescent="0.3">
      <c r="A922">
        <v>1921</v>
      </c>
      <c r="B922" s="1">
        <v>45329</v>
      </c>
      <c r="C922">
        <v>2024</v>
      </c>
      <c r="D922" t="s">
        <v>45</v>
      </c>
      <c r="E922" t="s">
        <v>13</v>
      </c>
      <c r="F922" t="s">
        <v>14</v>
      </c>
      <c r="G922" t="s">
        <v>15</v>
      </c>
      <c r="H922" t="s">
        <v>27</v>
      </c>
      <c r="I922" t="s">
        <v>17</v>
      </c>
      <c r="J922">
        <v>34530</v>
      </c>
      <c r="K922">
        <v>26849</v>
      </c>
      <c r="L922">
        <v>2</v>
      </c>
    </row>
    <row r="923" spans="1:12" x14ac:dyDescent="0.3">
      <c r="A923">
        <v>1922</v>
      </c>
      <c r="B923" s="1">
        <v>45146</v>
      </c>
      <c r="C923">
        <v>2023</v>
      </c>
      <c r="D923" t="s">
        <v>48</v>
      </c>
      <c r="E923" t="s">
        <v>24</v>
      </c>
      <c r="F923" t="s">
        <v>25</v>
      </c>
      <c r="G923" t="s">
        <v>29</v>
      </c>
      <c r="H923" t="s">
        <v>22</v>
      </c>
      <c r="I923" t="s">
        <v>23</v>
      </c>
      <c r="J923">
        <v>9577</v>
      </c>
      <c r="K923">
        <v>7005</v>
      </c>
      <c r="L923">
        <v>4</v>
      </c>
    </row>
    <row r="924" spans="1:12" x14ac:dyDescent="0.3">
      <c r="A924">
        <v>1923</v>
      </c>
      <c r="B924" s="1">
        <v>45077</v>
      </c>
      <c r="C924">
        <v>2023</v>
      </c>
      <c r="D924" t="s">
        <v>18</v>
      </c>
      <c r="E924" t="s">
        <v>24</v>
      </c>
      <c r="F924" t="s">
        <v>25</v>
      </c>
      <c r="G924" t="s">
        <v>29</v>
      </c>
      <c r="H924" t="s">
        <v>27</v>
      </c>
      <c r="I924" t="s">
        <v>17</v>
      </c>
      <c r="J924">
        <v>21940</v>
      </c>
      <c r="K924">
        <v>18378</v>
      </c>
      <c r="L924">
        <v>1</v>
      </c>
    </row>
    <row r="925" spans="1:12" x14ac:dyDescent="0.3">
      <c r="A925">
        <v>1924</v>
      </c>
      <c r="B925" s="1">
        <v>45397</v>
      </c>
      <c r="C925">
        <v>2024</v>
      </c>
      <c r="D925" t="s">
        <v>38</v>
      </c>
      <c r="E925" t="s">
        <v>24</v>
      </c>
      <c r="F925" t="s">
        <v>25</v>
      </c>
      <c r="G925" t="s">
        <v>29</v>
      </c>
      <c r="H925" t="s">
        <v>34</v>
      </c>
      <c r="I925" t="s">
        <v>23</v>
      </c>
      <c r="J925">
        <v>29719</v>
      </c>
      <c r="K925">
        <v>21239</v>
      </c>
      <c r="L925">
        <v>1</v>
      </c>
    </row>
    <row r="926" spans="1:12" x14ac:dyDescent="0.3">
      <c r="A926">
        <v>1925</v>
      </c>
      <c r="B926" s="1">
        <v>45019</v>
      </c>
      <c r="C926">
        <v>2023</v>
      </c>
      <c r="D926" t="s">
        <v>38</v>
      </c>
      <c r="E926" t="s">
        <v>24</v>
      </c>
      <c r="F926" t="s">
        <v>32</v>
      </c>
      <c r="G926" t="s">
        <v>33</v>
      </c>
      <c r="H926" t="s">
        <v>46</v>
      </c>
      <c r="I926" t="s">
        <v>17</v>
      </c>
      <c r="J926">
        <v>14832</v>
      </c>
      <c r="K926">
        <v>10565</v>
      </c>
      <c r="L926">
        <v>4</v>
      </c>
    </row>
    <row r="927" spans="1:12" x14ac:dyDescent="0.3">
      <c r="A927">
        <v>1926</v>
      </c>
      <c r="B927" s="1">
        <v>44976</v>
      </c>
      <c r="C927">
        <v>2023</v>
      </c>
      <c r="D927" t="s">
        <v>45</v>
      </c>
      <c r="E927" t="s">
        <v>13</v>
      </c>
      <c r="F927" t="s">
        <v>14</v>
      </c>
      <c r="G927" t="s">
        <v>15</v>
      </c>
      <c r="H927" t="s">
        <v>27</v>
      </c>
      <c r="I927" t="s">
        <v>17</v>
      </c>
      <c r="J927">
        <v>24408</v>
      </c>
      <c r="K927">
        <v>15945</v>
      </c>
      <c r="L927">
        <v>1</v>
      </c>
    </row>
    <row r="928" spans="1:12" x14ac:dyDescent="0.3">
      <c r="A928">
        <v>1927</v>
      </c>
      <c r="B928" s="1">
        <v>45221</v>
      </c>
      <c r="C928">
        <v>2023</v>
      </c>
      <c r="D928" t="s">
        <v>12</v>
      </c>
      <c r="E928" t="s">
        <v>13</v>
      </c>
      <c r="F928" t="s">
        <v>14</v>
      </c>
      <c r="G928" t="s">
        <v>15</v>
      </c>
      <c r="H928" t="s">
        <v>30</v>
      </c>
      <c r="I928" t="s">
        <v>23</v>
      </c>
      <c r="J928">
        <v>9867</v>
      </c>
      <c r="K928">
        <v>8276</v>
      </c>
      <c r="L928">
        <v>5</v>
      </c>
    </row>
    <row r="929" spans="1:12" x14ac:dyDescent="0.3">
      <c r="A929">
        <v>1928</v>
      </c>
      <c r="B929" s="1">
        <v>45193</v>
      </c>
      <c r="C929">
        <v>2023</v>
      </c>
      <c r="D929" t="s">
        <v>42</v>
      </c>
      <c r="E929" t="s">
        <v>13</v>
      </c>
      <c r="F929" t="s">
        <v>14</v>
      </c>
      <c r="G929" t="s">
        <v>15</v>
      </c>
      <c r="H929" t="s">
        <v>34</v>
      </c>
      <c r="I929" t="s">
        <v>23</v>
      </c>
      <c r="J929">
        <v>23367</v>
      </c>
      <c r="K929">
        <v>17077</v>
      </c>
      <c r="L929">
        <v>3</v>
      </c>
    </row>
    <row r="930" spans="1:12" x14ac:dyDescent="0.3">
      <c r="A930">
        <v>1929</v>
      </c>
      <c r="B930" s="1">
        <v>45191</v>
      </c>
      <c r="C930">
        <v>2023</v>
      </c>
      <c r="D930" t="s">
        <v>42</v>
      </c>
      <c r="E930" t="s">
        <v>24</v>
      </c>
      <c r="F930" t="s">
        <v>32</v>
      </c>
      <c r="G930" t="s">
        <v>33</v>
      </c>
      <c r="H930" t="s">
        <v>22</v>
      </c>
      <c r="I930" t="s">
        <v>23</v>
      </c>
      <c r="J930">
        <v>9383</v>
      </c>
      <c r="K930">
        <v>7910</v>
      </c>
      <c r="L930">
        <v>4</v>
      </c>
    </row>
    <row r="931" spans="1:12" x14ac:dyDescent="0.3">
      <c r="A931">
        <v>1930</v>
      </c>
      <c r="B931" s="1">
        <v>45380</v>
      </c>
      <c r="C931">
        <v>2024</v>
      </c>
      <c r="D931" t="s">
        <v>49</v>
      </c>
      <c r="E931" t="s">
        <v>19</v>
      </c>
      <c r="F931" t="s">
        <v>20</v>
      </c>
      <c r="G931" t="s">
        <v>21</v>
      </c>
      <c r="H931" t="s">
        <v>34</v>
      </c>
      <c r="I931" t="s">
        <v>23</v>
      </c>
      <c r="J931">
        <v>18949</v>
      </c>
      <c r="K931">
        <v>13970</v>
      </c>
      <c r="L931">
        <v>1</v>
      </c>
    </row>
    <row r="932" spans="1:12" x14ac:dyDescent="0.3">
      <c r="A932">
        <v>1931</v>
      </c>
      <c r="B932" s="1">
        <v>45218</v>
      </c>
      <c r="C932">
        <v>2023</v>
      </c>
      <c r="D932" t="s">
        <v>12</v>
      </c>
      <c r="E932" t="s">
        <v>24</v>
      </c>
      <c r="F932" t="s">
        <v>25</v>
      </c>
      <c r="G932" t="s">
        <v>29</v>
      </c>
      <c r="H932" t="s">
        <v>41</v>
      </c>
      <c r="I932" t="s">
        <v>23</v>
      </c>
      <c r="J932">
        <v>9776</v>
      </c>
      <c r="K932">
        <v>6071</v>
      </c>
      <c r="L932">
        <v>5</v>
      </c>
    </row>
    <row r="933" spans="1:12" x14ac:dyDescent="0.3">
      <c r="A933">
        <v>1932</v>
      </c>
      <c r="B933" s="1">
        <v>45469</v>
      </c>
      <c r="C933">
        <v>2024</v>
      </c>
      <c r="D933" t="s">
        <v>31</v>
      </c>
      <c r="E933" t="s">
        <v>13</v>
      </c>
      <c r="F933" t="s">
        <v>14</v>
      </c>
      <c r="G933" t="s">
        <v>15</v>
      </c>
      <c r="H933" t="s">
        <v>30</v>
      </c>
      <c r="I933" t="s">
        <v>23</v>
      </c>
      <c r="J933">
        <v>7405</v>
      </c>
      <c r="K933">
        <v>5747</v>
      </c>
      <c r="L933">
        <v>4</v>
      </c>
    </row>
    <row r="934" spans="1:12" x14ac:dyDescent="0.3">
      <c r="A934">
        <v>1933</v>
      </c>
      <c r="B934" s="1">
        <v>45193</v>
      </c>
      <c r="C934">
        <v>2023</v>
      </c>
      <c r="D934" t="s">
        <v>42</v>
      </c>
      <c r="E934" t="s">
        <v>13</v>
      </c>
      <c r="F934" t="s">
        <v>43</v>
      </c>
      <c r="G934" t="s">
        <v>44</v>
      </c>
      <c r="H934" t="s">
        <v>41</v>
      </c>
      <c r="I934" t="s">
        <v>23</v>
      </c>
      <c r="J934">
        <v>10684</v>
      </c>
      <c r="K934">
        <v>7772</v>
      </c>
      <c r="L934">
        <v>4</v>
      </c>
    </row>
    <row r="935" spans="1:12" x14ac:dyDescent="0.3">
      <c r="A935">
        <v>1934</v>
      </c>
      <c r="B935" s="1">
        <v>45320</v>
      </c>
      <c r="C935">
        <v>2024</v>
      </c>
      <c r="D935" t="s">
        <v>35</v>
      </c>
      <c r="E935" t="s">
        <v>13</v>
      </c>
      <c r="F935" t="s">
        <v>14</v>
      </c>
      <c r="G935" t="s">
        <v>15</v>
      </c>
      <c r="H935" t="s">
        <v>27</v>
      </c>
      <c r="I935" t="s">
        <v>17</v>
      </c>
      <c r="J935">
        <v>24394</v>
      </c>
      <c r="K935">
        <v>18231</v>
      </c>
      <c r="L935">
        <v>3</v>
      </c>
    </row>
    <row r="936" spans="1:12" x14ac:dyDescent="0.3">
      <c r="A936">
        <v>1935</v>
      </c>
      <c r="B936" s="1">
        <v>45017</v>
      </c>
      <c r="C936">
        <v>2023</v>
      </c>
      <c r="D936" t="s">
        <v>38</v>
      </c>
      <c r="E936" t="s">
        <v>13</v>
      </c>
      <c r="F936" t="s">
        <v>14</v>
      </c>
      <c r="G936" t="s">
        <v>15</v>
      </c>
      <c r="H936" t="s">
        <v>22</v>
      </c>
      <c r="I936" t="s">
        <v>23</v>
      </c>
      <c r="J936">
        <v>5526</v>
      </c>
      <c r="K936">
        <v>4433</v>
      </c>
      <c r="L936">
        <v>2</v>
      </c>
    </row>
    <row r="937" spans="1:12" x14ac:dyDescent="0.3">
      <c r="A937">
        <v>1936</v>
      </c>
      <c r="B937" s="1">
        <v>45500</v>
      </c>
      <c r="C937">
        <v>2024</v>
      </c>
      <c r="D937" t="s">
        <v>28</v>
      </c>
      <c r="E937" t="s">
        <v>24</v>
      </c>
      <c r="F937" t="s">
        <v>32</v>
      </c>
      <c r="G937" t="s">
        <v>33</v>
      </c>
      <c r="H937" t="s">
        <v>41</v>
      </c>
      <c r="I937" t="s">
        <v>23</v>
      </c>
      <c r="J937">
        <v>16399</v>
      </c>
      <c r="K937">
        <v>11093</v>
      </c>
      <c r="L937">
        <v>3</v>
      </c>
    </row>
    <row r="938" spans="1:12" x14ac:dyDescent="0.3">
      <c r="A938">
        <v>1937</v>
      </c>
      <c r="B938" s="1">
        <v>45379</v>
      </c>
      <c r="C938">
        <v>2024</v>
      </c>
      <c r="D938" t="s">
        <v>49</v>
      </c>
      <c r="E938" t="s">
        <v>13</v>
      </c>
      <c r="F938" t="s">
        <v>43</v>
      </c>
      <c r="G938" t="s">
        <v>44</v>
      </c>
      <c r="H938" t="s">
        <v>22</v>
      </c>
      <c r="I938" t="s">
        <v>23</v>
      </c>
      <c r="J938">
        <v>7795</v>
      </c>
      <c r="K938">
        <v>5439</v>
      </c>
      <c r="L938">
        <v>4</v>
      </c>
    </row>
    <row r="939" spans="1:12" x14ac:dyDescent="0.3">
      <c r="A939">
        <v>1938</v>
      </c>
      <c r="B939" s="1">
        <v>45516</v>
      </c>
      <c r="C939">
        <v>2024</v>
      </c>
      <c r="D939" t="s">
        <v>48</v>
      </c>
      <c r="E939" t="s">
        <v>13</v>
      </c>
      <c r="F939" t="s">
        <v>43</v>
      </c>
      <c r="G939" t="s">
        <v>44</v>
      </c>
      <c r="H939" t="s">
        <v>27</v>
      </c>
      <c r="I939" t="s">
        <v>17</v>
      </c>
      <c r="J939">
        <v>19759</v>
      </c>
      <c r="K939">
        <v>14941</v>
      </c>
      <c r="L939">
        <v>3</v>
      </c>
    </row>
    <row r="940" spans="1:12" x14ac:dyDescent="0.3">
      <c r="A940">
        <v>1939</v>
      </c>
      <c r="B940" s="1">
        <v>45435</v>
      </c>
      <c r="C940">
        <v>2024</v>
      </c>
      <c r="D940" t="s">
        <v>18</v>
      </c>
      <c r="E940" t="s">
        <v>24</v>
      </c>
      <c r="F940" t="s">
        <v>32</v>
      </c>
      <c r="G940" t="s">
        <v>33</v>
      </c>
      <c r="H940" t="s">
        <v>41</v>
      </c>
      <c r="I940" t="s">
        <v>23</v>
      </c>
      <c r="J940">
        <v>19273</v>
      </c>
      <c r="K940">
        <v>14565</v>
      </c>
      <c r="L940">
        <v>4</v>
      </c>
    </row>
    <row r="941" spans="1:12" x14ac:dyDescent="0.3">
      <c r="A941">
        <v>1940</v>
      </c>
      <c r="B941" s="1">
        <v>45133</v>
      </c>
      <c r="C941">
        <v>2023</v>
      </c>
      <c r="D941" t="s">
        <v>28</v>
      </c>
      <c r="E941" t="s">
        <v>13</v>
      </c>
      <c r="F941" t="s">
        <v>14</v>
      </c>
      <c r="G941" t="s">
        <v>15</v>
      </c>
      <c r="H941" t="s">
        <v>30</v>
      </c>
      <c r="I941" t="s">
        <v>23</v>
      </c>
      <c r="J941">
        <v>11715</v>
      </c>
      <c r="K941">
        <v>9885</v>
      </c>
      <c r="L941">
        <v>3</v>
      </c>
    </row>
    <row r="942" spans="1:12" x14ac:dyDescent="0.3">
      <c r="A942">
        <v>1941</v>
      </c>
      <c r="B942" s="1">
        <v>45335</v>
      </c>
      <c r="C942">
        <v>2024</v>
      </c>
      <c r="D942" t="s">
        <v>45</v>
      </c>
      <c r="E942" t="s">
        <v>19</v>
      </c>
      <c r="F942" t="s">
        <v>20</v>
      </c>
      <c r="G942" t="s">
        <v>21</v>
      </c>
      <c r="H942" t="s">
        <v>46</v>
      </c>
      <c r="I942" t="s">
        <v>17</v>
      </c>
      <c r="J942">
        <v>25989</v>
      </c>
      <c r="K942">
        <v>18543</v>
      </c>
      <c r="L942">
        <v>2</v>
      </c>
    </row>
    <row r="943" spans="1:12" x14ac:dyDescent="0.3">
      <c r="A943">
        <v>1942</v>
      </c>
      <c r="B943" s="1">
        <v>45415</v>
      </c>
      <c r="C943">
        <v>2024</v>
      </c>
      <c r="D943" t="s">
        <v>18</v>
      </c>
      <c r="E943" t="s">
        <v>24</v>
      </c>
      <c r="F943" t="s">
        <v>25</v>
      </c>
      <c r="G943" t="s">
        <v>29</v>
      </c>
      <c r="H943" t="s">
        <v>34</v>
      </c>
      <c r="I943" t="s">
        <v>23</v>
      </c>
      <c r="J943">
        <v>20745</v>
      </c>
      <c r="K943">
        <v>12815</v>
      </c>
      <c r="L943">
        <v>4</v>
      </c>
    </row>
    <row r="944" spans="1:12" x14ac:dyDescent="0.3">
      <c r="A944">
        <v>1943</v>
      </c>
      <c r="B944" s="1">
        <v>44951</v>
      </c>
      <c r="C944">
        <v>2023</v>
      </c>
      <c r="D944" t="s">
        <v>35</v>
      </c>
      <c r="E944" t="s">
        <v>24</v>
      </c>
      <c r="F944" t="s">
        <v>32</v>
      </c>
      <c r="G944" t="s">
        <v>33</v>
      </c>
      <c r="H944" t="s">
        <v>27</v>
      </c>
      <c r="I944" t="s">
        <v>17</v>
      </c>
      <c r="J944">
        <v>22432</v>
      </c>
      <c r="K944">
        <v>14511</v>
      </c>
      <c r="L944">
        <v>1</v>
      </c>
    </row>
    <row r="945" spans="1:12" x14ac:dyDescent="0.3">
      <c r="A945">
        <v>1944</v>
      </c>
      <c r="B945" s="1">
        <v>45099</v>
      </c>
      <c r="C945">
        <v>2023</v>
      </c>
      <c r="D945" t="s">
        <v>31</v>
      </c>
      <c r="E945" t="s">
        <v>19</v>
      </c>
      <c r="F945" t="s">
        <v>40</v>
      </c>
      <c r="G945" t="s">
        <v>40</v>
      </c>
      <c r="H945" t="s">
        <v>22</v>
      </c>
      <c r="I945" t="s">
        <v>23</v>
      </c>
      <c r="J945">
        <v>4991</v>
      </c>
      <c r="K945">
        <v>3210</v>
      </c>
      <c r="L945">
        <v>5</v>
      </c>
    </row>
    <row r="946" spans="1:12" x14ac:dyDescent="0.3">
      <c r="A946">
        <v>1945</v>
      </c>
      <c r="B946" s="1">
        <v>45336</v>
      </c>
      <c r="C946">
        <v>2024</v>
      </c>
      <c r="D946" t="s">
        <v>45</v>
      </c>
      <c r="E946" t="s">
        <v>13</v>
      </c>
      <c r="F946" t="s">
        <v>43</v>
      </c>
      <c r="G946" t="s">
        <v>44</v>
      </c>
      <c r="H946" t="s">
        <v>27</v>
      </c>
      <c r="I946" t="s">
        <v>17</v>
      </c>
      <c r="J946">
        <v>32503</v>
      </c>
      <c r="K946">
        <v>21100</v>
      </c>
      <c r="L946">
        <v>5</v>
      </c>
    </row>
    <row r="947" spans="1:12" x14ac:dyDescent="0.3">
      <c r="A947">
        <v>1946</v>
      </c>
      <c r="B947" s="1">
        <v>45006</v>
      </c>
      <c r="C947">
        <v>2023</v>
      </c>
      <c r="D947" t="s">
        <v>49</v>
      </c>
      <c r="E947" t="s">
        <v>13</v>
      </c>
      <c r="F947" t="s">
        <v>36</v>
      </c>
      <c r="G947" t="s">
        <v>37</v>
      </c>
      <c r="H947" t="s">
        <v>41</v>
      </c>
      <c r="I947" t="s">
        <v>23</v>
      </c>
      <c r="J947">
        <v>18614</v>
      </c>
      <c r="K947">
        <v>12859</v>
      </c>
      <c r="L947">
        <v>1</v>
      </c>
    </row>
    <row r="948" spans="1:12" x14ac:dyDescent="0.3">
      <c r="A948">
        <v>1947</v>
      </c>
      <c r="B948" s="1">
        <v>45271</v>
      </c>
      <c r="C948">
        <v>2023</v>
      </c>
      <c r="D948" t="s">
        <v>47</v>
      </c>
      <c r="E948" t="s">
        <v>24</v>
      </c>
      <c r="F948" t="s">
        <v>32</v>
      </c>
      <c r="G948" t="s">
        <v>33</v>
      </c>
      <c r="H948" t="s">
        <v>27</v>
      </c>
      <c r="I948" t="s">
        <v>17</v>
      </c>
      <c r="J948">
        <v>26821</v>
      </c>
      <c r="K948">
        <v>19171</v>
      </c>
      <c r="L948">
        <v>2</v>
      </c>
    </row>
    <row r="949" spans="1:12" x14ac:dyDescent="0.3">
      <c r="A949">
        <v>1948</v>
      </c>
      <c r="B949" s="1">
        <v>45201</v>
      </c>
      <c r="C949">
        <v>2023</v>
      </c>
      <c r="D949" t="s">
        <v>12</v>
      </c>
      <c r="E949" t="s">
        <v>19</v>
      </c>
      <c r="F949" t="s">
        <v>20</v>
      </c>
      <c r="G949" t="s">
        <v>21</v>
      </c>
      <c r="H949" t="s">
        <v>34</v>
      </c>
      <c r="I949" t="s">
        <v>23</v>
      </c>
      <c r="J949">
        <v>15866</v>
      </c>
      <c r="K949">
        <v>10423</v>
      </c>
      <c r="L949">
        <v>5</v>
      </c>
    </row>
    <row r="950" spans="1:12" x14ac:dyDescent="0.3">
      <c r="A950">
        <v>1949</v>
      </c>
      <c r="B950" s="1">
        <v>45491</v>
      </c>
      <c r="C950">
        <v>2024</v>
      </c>
      <c r="D950" t="s">
        <v>28</v>
      </c>
      <c r="E950" t="s">
        <v>13</v>
      </c>
      <c r="F950" t="s">
        <v>43</v>
      </c>
      <c r="G950" t="s">
        <v>44</v>
      </c>
      <c r="H950" t="s">
        <v>30</v>
      </c>
      <c r="I950" t="s">
        <v>23</v>
      </c>
      <c r="J950">
        <v>7051</v>
      </c>
      <c r="K950">
        <v>5000</v>
      </c>
      <c r="L950">
        <v>5</v>
      </c>
    </row>
    <row r="951" spans="1:12" x14ac:dyDescent="0.3">
      <c r="A951">
        <v>1950</v>
      </c>
      <c r="B951" s="1">
        <v>45561</v>
      </c>
      <c r="C951">
        <v>2024</v>
      </c>
      <c r="D951" t="s">
        <v>42</v>
      </c>
      <c r="E951" t="s">
        <v>24</v>
      </c>
      <c r="F951" t="s">
        <v>25</v>
      </c>
      <c r="G951" t="s">
        <v>29</v>
      </c>
      <c r="H951" t="s">
        <v>30</v>
      </c>
      <c r="I951" t="s">
        <v>23</v>
      </c>
      <c r="J951">
        <v>7265</v>
      </c>
      <c r="K951">
        <v>4596</v>
      </c>
      <c r="L951">
        <v>1</v>
      </c>
    </row>
    <row r="952" spans="1:12" x14ac:dyDescent="0.3">
      <c r="A952">
        <v>1951</v>
      </c>
      <c r="B952" s="1">
        <v>45080</v>
      </c>
      <c r="C952">
        <v>2023</v>
      </c>
      <c r="D952" t="s">
        <v>31</v>
      </c>
      <c r="E952" t="s">
        <v>13</v>
      </c>
      <c r="F952" t="s">
        <v>43</v>
      </c>
      <c r="G952" t="s">
        <v>44</v>
      </c>
      <c r="H952" t="s">
        <v>16</v>
      </c>
      <c r="I952" t="s">
        <v>17</v>
      </c>
      <c r="J952">
        <v>67764</v>
      </c>
      <c r="K952">
        <v>49383</v>
      </c>
      <c r="L952">
        <v>1</v>
      </c>
    </row>
    <row r="953" spans="1:12" x14ac:dyDescent="0.3">
      <c r="A953">
        <v>1952</v>
      </c>
      <c r="B953" s="1">
        <v>45345</v>
      </c>
      <c r="C953">
        <v>2024</v>
      </c>
      <c r="D953" t="s">
        <v>45</v>
      </c>
      <c r="E953" t="s">
        <v>19</v>
      </c>
      <c r="F953" t="s">
        <v>20</v>
      </c>
      <c r="G953" t="s">
        <v>21</v>
      </c>
      <c r="H953" t="s">
        <v>27</v>
      </c>
      <c r="I953" t="s">
        <v>17</v>
      </c>
      <c r="J953">
        <v>21592</v>
      </c>
      <c r="K953">
        <v>15967</v>
      </c>
      <c r="L953">
        <v>2</v>
      </c>
    </row>
    <row r="954" spans="1:12" x14ac:dyDescent="0.3">
      <c r="A954">
        <v>1953</v>
      </c>
      <c r="B954" s="1">
        <v>45434</v>
      </c>
      <c r="C954">
        <v>2024</v>
      </c>
      <c r="D954" t="s">
        <v>18</v>
      </c>
      <c r="E954" t="s">
        <v>24</v>
      </c>
      <c r="F954" t="s">
        <v>32</v>
      </c>
      <c r="G954" t="s">
        <v>33</v>
      </c>
      <c r="H954" t="s">
        <v>41</v>
      </c>
      <c r="I954" t="s">
        <v>23</v>
      </c>
      <c r="J954">
        <v>10614</v>
      </c>
      <c r="K954">
        <v>6705</v>
      </c>
      <c r="L954">
        <v>5</v>
      </c>
    </row>
    <row r="955" spans="1:12" x14ac:dyDescent="0.3">
      <c r="A955">
        <v>1954</v>
      </c>
      <c r="B955" s="1">
        <v>45421</v>
      </c>
      <c r="C955">
        <v>2024</v>
      </c>
      <c r="D955" t="s">
        <v>18</v>
      </c>
      <c r="E955" t="s">
        <v>24</v>
      </c>
      <c r="F955" t="s">
        <v>32</v>
      </c>
      <c r="G955" t="s">
        <v>33</v>
      </c>
      <c r="H955" t="s">
        <v>46</v>
      </c>
      <c r="I955" t="s">
        <v>17</v>
      </c>
      <c r="J955">
        <v>17586</v>
      </c>
      <c r="K955">
        <v>14583</v>
      </c>
      <c r="L955">
        <v>3</v>
      </c>
    </row>
    <row r="956" spans="1:12" x14ac:dyDescent="0.3">
      <c r="A956">
        <v>1955</v>
      </c>
      <c r="B956" s="1">
        <v>45353</v>
      </c>
      <c r="C956">
        <v>2024</v>
      </c>
      <c r="D956" t="s">
        <v>49</v>
      </c>
      <c r="E956" t="s">
        <v>24</v>
      </c>
      <c r="F956" t="s">
        <v>25</v>
      </c>
      <c r="G956" t="s">
        <v>26</v>
      </c>
      <c r="H956" t="s">
        <v>46</v>
      </c>
      <c r="I956" t="s">
        <v>17</v>
      </c>
      <c r="J956">
        <v>20824</v>
      </c>
      <c r="K956">
        <v>15980</v>
      </c>
      <c r="L956">
        <v>4</v>
      </c>
    </row>
    <row r="957" spans="1:12" x14ac:dyDescent="0.3">
      <c r="A957">
        <v>1956</v>
      </c>
      <c r="B957" s="1">
        <v>45323</v>
      </c>
      <c r="C957">
        <v>2024</v>
      </c>
      <c r="D957" t="s">
        <v>45</v>
      </c>
      <c r="E957" t="s">
        <v>13</v>
      </c>
      <c r="F957" t="s">
        <v>36</v>
      </c>
      <c r="G957" t="s">
        <v>37</v>
      </c>
      <c r="H957" t="s">
        <v>46</v>
      </c>
      <c r="I957" t="s">
        <v>17</v>
      </c>
      <c r="J957">
        <v>24734</v>
      </c>
      <c r="K957">
        <v>18840</v>
      </c>
      <c r="L957">
        <v>2</v>
      </c>
    </row>
    <row r="958" spans="1:12" x14ac:dyDescent="0.3">
      <c r="A958">
        <v>1957</v>
      </c>
      <c r="B958" s="1">
        <v>45294</v>
      </c>
      <c r="C958">
        <v>2024</v>
      </c>
      <c r="D958" t="s">
        <v>35</v>
      </c>
      <c r="E958" t="s">
        <v>19</v>
      </c>
      <c r="F958" t="s">
        <v>40</v>
      </c>
      <c r="G958" t="s">
        <v>40</v>
      </c>
      <c r="H958" t="s">
        <v>22</v>
      </c>
      <c r="I958" t="s">
        <v>23</v>
      </c>
      <c r="J958">
        <v>3062</v>
      </c>
      <c r="K958">
        <v>1925</v>
      </c>
      <c r="L958">
        <v>2</v>
      </c>
    </row>
    <row r="959" spans="1:12" x14ac:dyDescent="0.3">
      <c r="A959">
        <v>1958</v>
      </c>
      <c r="B959" s="1">
        <v>45048</v>
      </c>
      <c r="C959">
        <v>2023</v>
      </c>
      <c r="D959" t="s">
        <v>18</v>
      </c>
      <c r="E959" t="s">
        <v>13</v>
      </c>
      <c r="F959" t="s">
        <v>14</v>
      </c>
      <c r="G959" t="s">
        <v>15</v>
      </c>
      <c r="H959" t="s">
        <v>27</v>
      </c>
      <c r="I959" t="s">
        <v>17</v>
      </c>
      <c r="J959">
        <v>18160</v>
      </c>
      <c r="K959">
        <v>14180</v>
      </c>
      <c r="L959">
        <v>5</v>
      </c>
    </row>
    <row r="960" spans="1:12" x14ac:dyDescent="0.3">
      <c r="A960">
        <v>1959</v>
      </c>
      <c r="B960" s="1">
        <v>45399</v>
      </c>
      <c r="C960">
        <v>2024</v>
      </c>
      <c r="D960" t="s">
        <v>38</v>
      </c>
      <c r="E960" t="s">
        <v>24</v>
      </c>
      <c r="F960" t="s">
        <v>25</v>
      </c>
      <c r="G960" t="s">
        <v>29</v>
      </c>
      <c r="H960" t="s">
        <v>30</v>
      </c>
      <c r="I960" t="s">
        <v>23</v>
      </c>
      <c r="J960">
        <v>9252</v>
      </c>
      <c r="K960">
        <v>6562</v>
      </c>
      <c r="L960">
        <v>2</v>
      </c>
    </row>
    <row r="961" spans="1:12" x14ac:dyDescent="0.3">
      <c r="A961">
        <v>1960</v>
      </c>
      <c r="B961" s="1">
        <v>45471</v>
      </c>
      <c r="C961">
        <v>2024</v>
      </c>
      <c r="D961" t="s">
        <v>31</v>
      </c>
      <c r="E961" t="s">
        <v>24</v>
      </c>
      <c r="F961" t="s">
        <v>25</v>
      </c>
      <c r="G961" t="s">
        <v>26</v>
      </c>
      <c r="H961" t="s">
        <v>34</v>
      </c>
      <c r="I961" t="s">
        <v>23</v>
      </c>
      <c r="J961">
        <v>30234</v>
      </c>
      <c r="K961">
        <v>20844</v>
      </c>
      <c r="L961">
        <v>2</v>
      </c>
    </row>
    <row r="962" spans="1:12" x14ac:dyDescent="0.3">
      <c r="A962">
        <v>1961</v>
      </c>
      <c r="B962" s="1">
        <v>45634</v>
      </c>
      <c r="C962">
        <v>2024</v>
      </c>
      <c r="D962" t="s">
        <v>47</v>
      </c>
      <c r="E962" t="s">
        <v>19</v>
      </c>
      <c r="F962" t="s">
        <v>20</v>
      </c>
      <c r="G962" t="s">
        <v>21</v>
      </c>
      <c r="H962" t="s">
        <v>27</v>
      </c>
      <c r="I962" t="s">
        <v>17</v>
      </c>
      <c r="J962">
        <v>33110</v>
      </c>
      <c r="K962">
        <v>22171</v>
      </c>
      <c r="L962">
        <v>1</v>
      </c>
    </row>
    <row r="963" spans="1:12" x14ac:dyDescent="0.3">
      <c r="A963">
        <v>1962</v>
      </c>
      <c r="B963" s="1">
        <v>45025</v>
      </c>
      <c r="C963">
        <v>2023</v>
      </c>
      <c r="D963" t="s">
        <v>38</v>
      </c>
      <c r="E963" t="s">
        <v>13</v>
      </c>
      <c r="F963" t="s">
        <v>14</v>
      </c>
      <c r="G963" t="s">
        <v>15</v>
      </c>
      <c r="H963" t="s">
        <v>34</v>
      </c>
      <c r="I963" t="s">
        <v>23</v>
      </c>
      <c r="J963">
        <v>17884</v>
      </c>
      <c r="K963">
        <v>14178</v>
      </c>
      <c r="L963">
        <v>4</v>
      </c>
    </row>
    <row r="964" spans="1:12" x14ac:dyDescent="0.3">
      <c r="A964">
        <v>1963</v>
      </c>
      <c r="B964" s="1">
        <v>44930</v>
      </c>
      <c r="C964">
        <v>2023</v>
      </c>
      <c r="D964" t="s">
        <v>35</v>
      </c>
      <c r="E964" t="s">
        <v>19</v>
      </c>
      <c r="F964" t="s">
        <v>20</v>
      </c>
      <c r="G964" t="s">
        <v>21</v>
      </c>
      <c r="H964" t="s">
        <v>34</v>
      </c>
      <c r="I964" t="s">
        <v>23</v>
      </c>
      <c r="J964">
        <v>31206</v>
      </c>
      <c r="K964">
        <v>26037</v>
      </c>
      <c r="L964">
        <v>2</v>
      </c>
    </row>
    <row r="965" spans="1:12" x14ac:dyDescent="0.3">
      <c r="A965">
        <v>1964</v>
      </c>
      <c r="B965" s="1">
        <v>45186</v>
      </c>
      <c r="C965">
        <v>2023</v>
      </c>
      <c r="D965" t="s">
        <v>42</v>
      </c>
      <c r="E965" t="s">
        <v>13</v>
      </c>
      <c r="F965" t="s">
        <v>36</v>
      </c>
      <c r="G965" t="s">
        <v>37</v>
      </c>
      <c r="H965" t="s">
        <v>22</v>
      </c>
      <c r="I965" t="s">
        <v>23</v>
      </c>
      <c r="J965">
        <v>5460</v>
      </c>
      <c r="K965">
        <v>3975</v>
      </c>
      <c r="L965">
        <v>1</v>
      </c>
    </row>
    <row r="966" spans="1:12" x14ac:dyDescent="0.3">
      <c r="A966">
        <v>1965</v>
      </c>
      <c r="B966" s="1">
        <v>45430</v>
      </c>
      <c r="C966">
        <v>2024</v>
      </c>
      <c r="D966" t="s">
        <v>18</v>
      </c>
      <c r="E966" t="s">
        <v>19</v>
      </c>
      <c r="F966" t="s">
        <v>20</v>
      </c>
      <c r="G966" t="s">
        <v>21</v>
      </c>
      <c r="H966" t="s">
        <v>34</v>
      </c>
      <c r="I966" t="s">
        <v>23</v>
      </c>
      <c r="J966">
        <v>16281</v>
      </c>
      <c r="K966">
        <v>13217</v>
      </c>
      <c r="L966">
        <v>2</v>
      </c>
    </row>
    <row r="967" spans="1:12" x14ac:dyDescent="0.3">
      <c r="A967">
        <v>1966</v>
      </c>
      <c r="B967" s="1">
        <v>45014</v>
      </c>
      <c r="C967">
        <v>2023</v>
      </c>
      <c r="D967" t="s">
        <v>49</v>
      </c>
      <c r="E967" t="s">
        <v>13</v>
      </c>
      <c r="F967" t="s">
        <v>43</v>
      </c>
      <c r="G967" t="s">
        <v>44</v>
      </c>
      <c r="H967" t="s">
        <v>30</v>
      </c>
      <c r="I967" t="s">
        <v>23</v>
      </c>
      <c r="J967">
        <v>7210</v>
      </c>
      <c r="K967">
        <v>5657</v>
      </c>
      <c r="L967">
        <v>5</v>
      </c>
    </row>
    <row r="968" spans="1:12" x14ac:dyDescent="0.3">
      <c r="A968">
        <v>1967</v>
      </c>
      <c r="B968" s="1">
        <v>45364</v>
      </c>
      <c r="C968">
        <v>2024</v>
      </c>
      <c r="D968" t="s">
        <v>49</v>
      </c>
      <c r="E968" t="s">
        <v>19</v>
      </c>
      <c r="F968" t="s">
        <v>20</v>
      </c>
      <c r="G968" t="s">
        <v>21</v>
      </c>
      <c r="H968" t="s">
        <v>41</v>
      </c>
      <c r="I968" t="s">
        <v>23</v>
      </c>
      <c r="J968">
        <v>17406</v>
      </c>
      <c r="K968">
        <v>11428</v>
      </c>
      <c r="L968">
        <v>5</v>
      </c>
    </row>
    <row r="969" spans="1:12" x14ac:dyDescent="0.3">
      <c r="A969">
        <v>1968</v>
      </c>
      <c r="B969" s="1">
        <v>45037</v>
      </c>
      <c r="C969">
        <v>2023</v>
      </c>
      <c r="D969" t="s">
        <v>38</v>
      </c>
      <c r="E969" t="s">
        <v>19</v>
      </c>
      <c r="F969" t="s">
        <v>40</v>
      </c>
      <c r="G969" t="s">
        <v>40</v>
      </c>
      <c r="H969" t="s">
        <v>34</v>
      </c>
      <c r="I969" t="s">
        <v>23</v>
      </c>
      <c r="J969">
        <v>26728</v>
      </c>
      <c r="K969">
        <v>19348</v>
      </c>
      <c r="L969">
        <v>3</v>
      </c>
    </row>
    <row r="970" spans="1:12" x14ac:dyDescent="0.3">
      <c r="A970">
        <v>1969</v>
      </c>
      <c r="B970" s="1">
        <v>45099</v>
      </c>
      <c r="C970">
        <v>2023</v>
      </c>
      <c r="D970" t="s">
        <v>31</v>
      </c>
      <c r="E970" t="s">
        <v>19</v>
      </c>
      <c r="F970" t="s">
        <v>40</v>
      </c>
      <c r="G970" t="s">
        <v>40</v>
      </c>
      <c r="H970" t="s">
        <v>46</v>
      </c>
      <c r="I970" t="s">
        <v>17</v>
      </c>
      <c r="J970">
        <v>12794</v>
      </c>
      <c r="K970">
        <v>8874</v>
      </c>
      <c r="L970">
        <v>4</v>
      </c>
    </row>
    <row r="971" spans="1:12" x14ac:dyDescent="0.3">
      <c r="A971">
        <v>1970</v>
      </c>
      <c r="B971" s="1">
        <v>45242</v>
      </c>
      <c r="C971">
        <v>2023</v>
      </c>
      <c r="D971" t="s">
        <v>39</v>
      </c>
      <c r="E971" t="s">
        <v>13</v>
      </c>
      <c r="F971" t="s">
        <v>14</v>
      </c>
      <c r="G971" t="s">
        <v>15</v>
      </c>
      <c r="H971" t="s">
        <v>34</v>
      </c>
      <c r="I971" t="s">
        <v>23</v>
      </c>
      <c r="J971">
        <v>29620</v>
      </c>
      <c r="K971">
        <v>22472</v>
      </c>
      <c r="L971">
        <v>2</v>
      </c>
    </row>
    <row r="972" spans="1:12" x14ac:dyDescent="0.3">
      <c r="A972">
        <v>1971</v>
      </c>
      <c r="B972" s="1">
        <v>45079</v>
      </c>
      <c r="C972">
        <v>2023</v>
      </c>
      <c r="D972" t="s">
        <v>31</v>
      </c>
      <c r="E972" t="s">
        <v>24</v>
      </c>
      <c r="F972" t="s">
        <v>25</v>
      </c>
      <c r="G972" t="s">
        <v>29</v>
      </c>
      <c r="H972" t="s">
        <v>16</v>
      </c>
      <c r="I972" t="s">
        <v>17</v>
      </c>
      <c r="J972">
        <v>44687</v>
      </c>
      <c r="K972">
        <v>29380</v>
      </c>
      <c r="L972">
        <v>5</v>
      </c>
    </row>
    <row r="973" spans="1:12" x14ac:dyDescent="0.3">
      <c r="A973">
        <v>1972</v>
      </c>
      <c r="B973" s="1">
        <v>45613</v>
      </c>
      <c r="C973">
        <v>2024</v>
      </c>
      <c r="D973" t="s">
        <v>39</v>
      </c>
      <c r="E973" t="s">
        <v>19</v>
      </c>
      <c r="F973" t="s">
        <v>40</v>
      </c>
      <c r="G973" t="s">
        <v>40</v>
      </c>
      <c r="H973" t="s">
        <v>30</v>
      </c>
      <c r="I973" t="s">
        <v>23</v>
      </c>
      <c r="J973">
        <v>9530</v>
      </c>
      <c r="K973">
        <v>7732</v>
      </c>
      <c r="L973">
        <v>5</v>
      </c>
    </row>
    <row r="974" spans="1:12" x14ac:dyDescent="0.3">
      <c r="A974">
        <v>1973</v>
      </c>
      <c r="B974" s="1">
        <v>45443</v>
      </c>
      <c r="C974">
        <v>2024</v>
      </c>
      <c r="D974" t="s">
        <v>18</v>
      </c>
      <c r="E974" t="s">
        <v>13</v>
      </c>
      <c r="F974" t="s">
        <v>14</v>
      </c>
      <c r="G974" t="s">
        <v>15</v>
      </c>
      <c r="H974" t="s">
        <v>30</v>
      </c>
      <c r="I974" t="s">
        <v>23</v>
      </c>
      <c r="J974">
        <v>12116</v>
      </c>
      <c r="K974">
        <v>9756</v>
      </c>
      <c r="L974">
        <v>5</v>
      </c>
    </row>
    <row r="975" spans="1:12" x14ac:dyDescent="0.3">
      <c r="A975">
        <v>1974</v>
      </c>
      <c r="B975" s="1">
        <v>44963</v>
      </c>
      <c r="C975">
        <v>2023</v>
      </c>
      <c r="D975" t="s">
        <v>45</v>
      </c>
      <c r="E975" t="s">
        <v>13</v>
      </c>
      <c r="F975" t="s">
        <v>14</v>
      </c>
      <c r="G975" t="s">
        <v>15</v>
      </c>
      <c r="H975" t="s">
        <v>16</v>
      </c>
      <c r="I975" t="s">
        <v>17</v>
      </c>
      <c r="J975">
        <v>43911</v>
      </c>
      <c r="K975">
        <v>34120</v>
      </c>
      <c r="L975">
        <v>3</v>
      </c>
    </row>
    <row r="976" spans="1:12" x14ac:dyDescent="0.3">
      <c r="A976">
        <v>1975</v>
      </c>
      <c r="B976" s="1">
        <v>45136</v>
      </c>
      <c r="C976">
        <v>2023</v>
      </c>
      <c r="D976" t="s">
        <v>28</v>
      </c>
      <c r="E976" t="s">
        <v>24</v>
      </c>
      <c r="F976" t="s">
        <v>25</v>
      </c>
      <c r="G976" t="s">
        <v>29</v>
      </c>
      <c r="H976" t="s">
        <v>22</v>
      </c>
      <c r="I976" t="s">
        <v>23</v>
      </c>
      <c r="J976">
        <v>4552</v>
      </c>
      <c r="K976">
        <v>3122</v>
      </c>
      <c r="L976">
        <v>3</v>
      </c>
    </row>
    <row r="977" spans="1:12" x14ac:dyDescent="0.3">
      <c r="A977">
        <v>1976</v>
      </c>
      <c r="B977" s="1">
        <v>45409</v>
      </c>
      <c r="C977">
        <v>2024</v>
      </c>
      <c r="D977" t="s">
        <v>38</v>
      </c>
      <c r="E977" t="s">
        <v>24</v>
      </c>
      <c r="F977" t="s">
        <v>25</v>
      </c>
      <c r="G977" t="s">
        <v>26</v>
      </c>
      <c r="H977" t="s">
        <v>22</v>
      </c>
      <c r="I977" t="s">
        <v>23</v>
      </c>
      <c r="J977">
        <v>6702</v>
      </c>
      <c r="K977">
        <v>5065</v>
      </c>
      <c r="L977">
        <v>2</v>
      </c>
    </row>
    <row r="978" spans="1:12" x14ac:dyDescent="0.3">
      <c r="A978">
        <v>1977</v>
      </c>
      <c r="B978" s="1">
        <v>45108</v>
      </c>
      <c r="C978">
        <v>2023</v>
      </c>
      <c r="D978" t="s">
        <v>28</v>
      </c>
      <c r="E978" t="s">
        <v>13</v>
      </c>
      <c r="F978" t="s">
        <v>43</v>
      </c>
      <c r="G978" t="s">
        <v>44</v>
      </c>
      <c r="H978" t="s">
        <v>27</v>
      </c>
      <c r="I978" t="s">
        <v>17</v>
      </c>
      <c r="J978">
        <v>26254</v>
      </c>
      <c r="K978">
        <v>20409</v>
      </c>
      <c r="L978">
        <v>2</v>
      </c>
    </row>
    <row r="979" spans="1:12" x14ac:dyDescent="0.3">
      <c r="A979">
        <v>1978</v>
      </c>
      <c r="B979" s="1">
        <v>45214</v>
      </c>
      <c r="C979">
        <v>2023</v>
      </c>
      <c r="D979" t="s">
        <v>12</v>
      </c>
      <c r="E979" t="s">
        <v>24</v>
      </c>
      <c r="F979" t="s">
        <v>25</v>
      </c>
      <c r="G979" t="s">
        <v>29</v>
      </c>
      <c r="H979" t="s">
        <v>46</v>
      </c>
      <c r="I979" t="s">
        <v>17</v>
      </c>
      <c r="J979">
        <v>18795</v>
      </c>
      <c r="K979">
        <v>13307</v>
      </c>
      <c r="L979">
        <v>1</v>
      </c>
    </row>
    <row r="980" spans="1:12" x14ac:dyDescent="0.3">
      <c r="A980">
        <v>1979</v>
      </c>
      <c r="B980" s="1">
        <v>45513</v>
      </c>
      <c r="C980">
        <v>2024</v>
      </c>
      <c r="D980" t="s">
        <v>48</v>
      </c>
      <c r="E980" t="s">
        <v>24</v>
      </c>
      <c r="F980" t="s">
        <v>25</v>
      </c>
      <c r="G980" t="s">
        <v>29</v>
      </c>
      <c r="H980" t="s">
        <v>41</v>
      </c>
      <c r="I980" t="s">
        <v>23</v>
      </c>
      <c r="J980">
        <v>11246</v>
      </c>
      <c r="K980">
        <v>8888</v>
      </c>
      <c r="L980">
        <v>4</v>
      </c>
    </row>
    <row r="981" spans="1:12" x14ac:dyDescent="0.3">
      <c r="A981">
        <v>1980</v>
      </c>
      <c r="B981" s="1">
        <v>45168</v>
      </c>
      <c r="C981">
        <v>2023</v>
      </c>
      <c r="D981" t="s">
        <v>48</v>
      </c>
      <c r="E981" t="s">
        <v>13</v>
      </c>
      <c r="F981" t="s">
        <v>43</v>
      </c>
      <c r="G981" t="s">
        <v>44</v>
      </c>
      <c r="H981" t="s">
        <v>41</v>
      </c>
      <c r="I981" t="s">
        <v>23</v>
      </c>
      <c r="J981">
        <v>15202</v>
      </c>
      <c r="K981">
        <v>10415</v>
      </c>
      <c r="L981">
        <v>1</v>
      </c>
    </row>
    <row r="982" spans="1:12" x14ac:dyDescent="0.3">
      <c r="A982">
        <v>1981</v>
      </c>
      <c r="B982" s="1">
        <v>44965</v>
      </c>
      <c r="C982">
        <v>2023</v>
      </c>
      <c r="D982" t="s">
        <v>45</v>
      </c>
      <c r="E982" t="s">
        <v>24</v>
      </c>
      <c r="F982" t="s">
        <v>25</v>
      </c>
      <c r="G982" t="s">
        <v>29</v>
      </c>
      <c r="H982" t="s">
        <v>16</v>
      </c>
      <c r="I982" t="s">
        <v>17</v>
      </c>
      <c r="J982">
        <v>52211</v>
      </c>
      <c r="K982">
        <v>33309</v>
      </c>
      <c r="L982">
        <v>4</v>
      </c>
    </row>
    <row r="983" spans="1:12" x14ac:dyDescent="0.3">
      <c r="A983">
        <v>1982</v>
      </c>
      <c r="B983" s="1">
        <v>45010</v>
      </c>
      <c r="C983">
        <v>2023</v>
      </c>
      <c r="D983" t="s">
        <v>49</v>
      </c>
      <c r="E983" t="s">
        <v>19</v>
      </c>
      <c r="F983" t="s">
        <v>40</v>
      </c>
      <c r="G983" t="s">
        <v>40</v>
      </c>
      <c r="H983" t="s">
        <v>16</v>
      </c>
      <c r="I983" t="s">
        <v>17</v>
      </c>
      <c r="J983">
        <v>54367</v>
      </c>
      <c r="K983">
        <v>40030</v>
      </c>
      <c r="L983">
        <v>3</v>
      </c>
    </row>
    <row r="984" spans="1:12" x14ac:dyDescent="0.3">
      <c r="A984">
        <v>1983</v>
      </c>
      <c r="B984" s="1">
        <v>45268</v>
      </c>
      <c r="C984">
        <v>2023</v>
      </c>
      <c r="D984" t="s">
        <v>47</v>
      </c>
      <c r="E984" t="s">
        <v>13</v>
      </c>
      <c r="F984" t="s">
        <v>36</v>
      </c>
      <c r="G984" t="s">
        <v>37</v>
      </c>
      <c r="H984" t="s">
        <v>34</v>
      </c>
      <c r="I984" t="s">
        <v>23</v>
      </c>
      <c r="J984">
        <v>17719</v>
      </c>
      <c r="K984">
        <v>12874</v>
      </c>
      <c r="L984">
        <v>5</v>
      </c>
    </row>
    <row r="985" spans="1:12" x14ac:dyDescent="0.3">
      <c r="A985">
        <v>1984</v>
      </c>
      <c r="B985" s="1">
        <v>45536</v>
      </c>
      <c r="C985">
        <v>2024</v>
      </c>
      <c r="D985" t="s">
        <v>42</v>
      </c>
      <c r="E985" t="s">
        <v>19</v>
      </c>
      <c r="F985" t="s">
        <v>20</v>
      </c>
      <c r="G985" t="s">
        <v>21</v>
      </c>
      <c r="H985" t="s">
        <v>46</v>
      </c>
      <c r="I985" t="s">
        <v>17</v>
      </c>
      <c r="J985">
        <v>11703</v>
      </c>
      <c r="K985">
        <v>9784</v>
      </c>
      <c r="L985">
        <v>1</v>
      </c>
    </row>
    <row r="986" spans="1:12" x14ac:dyDescent="0.3">
      <c r="A986">
        <v>1985</v>
      </c>
      <c r="B986" s="1">
        <v>45559</v>
      </c>
      <c r="C986">
        <v>2024</v>
      </c>
      <c r="D986" t="s">
        <v>42</v>
      </c>
      <c r="E986" t="s">
        <v>19</v>
      </c>
      <c r="F986" t="s">
        <v>20</v>
      </c>
      <c r="G986" t="s">
        <v>21</v>
      </c>
      <c r="H986" t="s">
        <v>41</v>
      </c>
      <c r="I986" t="s">
        <v>23</v>
      </c>
      <c r="J986">
        <v>7343</v>
      </c>
      <c r="K986">
        <v>5185</v>
      </c>
      <c r="L986">
        <v>4</v>
      </c>
    </row>
    <row r="987" spans="1:12" x14ac:dyDescent="0.3">
      <c r="A987">
        <v>1986</v>
      </c>
      <c r="B987" s="1">
        <v>45629</v>
      </c>
      <c r="C987">
        <v>2024</v>
      </c>
      <c r="D987" t="s">
        <v>47</v>
      </c>
      <c r="E987" t="s">
        <v>24</v>
      </c>
      <c r="F987" t="s">
        <v>32</v>
      </c>
      <c r="G987" t="s">
        <v>33</v>
      </c>
      <c r="H987" t="s">
        <v>22</v>
      </c>
      <c r="I987" t="s">
        <v>23</v>
      </c>
      <c r="J987">
        <v>8474</v>
      </c>
      <c r="K987">
        <v>5905</v>
      </c>
      <c r="L987">
        <v>5</v>
      </c>
    </row>
    <row r="988" spans="1:12" x14ac:dyDescent="0.3">
      <c r="A988">
        <v>1987</v>
      </c>
      <c r="B988" s="1">
        <v>45035</v>
      </c>
      <c r="C988">
        <v>2023</v>
      </c>
      <c r="D988" t="s">
        <v>38</v>
      </c>
      <c r="E988" t="s">
        <v>24</v>
      </c>
      <c r="F988" t="s">
        <v>25</v>
      </c>
      <c r="G988" t="s">
        <v>26</v>
      </c>
      <c r="H988" t="s">
        <v>27</v>
      </c>
      <c r="I988" t="s">
        <v>17</v>
      </c>
      <c r="J988">
        <v>34117</v>
      </c>
      <c r="K988">
        <v>23254</v>
      </c>
      <c r="L988">
        <v>5</v>
      </c>
    </row>
    <row r="989" spans="1:12" x14ac:dyDescent="0.3">
      <c r="A989">
        <v>1988</v>
      </c>
      <c r="B989" s="1">
        <v>45362</v>
      </c>
      <c r="C989">
        <v>2024</v>
      </c>
      <c r="D989" t="s">
        <v>49</v>
      </c>
      <c r="E989" t="s">
        <v>24</v>
      </c>
      <c r="F989" t="s">
        <v>25</v>
      </c>
      <c r="G989" t="s">
        <v>29</v>
      </c>
      <c r="H989" t="s">
        <v>22</v>
      </c>
      <c r="I989" t="s">
        <v>23</v>
      </c>
      <c r="J989">
        <v>7595</v>
      </c>
      <c r="K989">
        <v>5415</v>
      </c>
      <c r="L989">
        <v>2</v>
      </c>
    </row>
    <row r="990" spans="1:12" x14ac:dyDescent="0.3">
      <c r="A990">
        <v>1989</v>
      </c>
      <c r="B990" s="1">
        <v>45380</v>
      </c>
      <c r="C990">
        <v>2024</v>
      </c>
      <c r="D990" t="s">
        <v>49</v>
      </c>
      <c r="E990" t="s">
        <v>24</v>
      </c>
      <c r="F990" t="s">
        <v>25</v>
      </c>
      <c r="G990" t="s">
        <v>26</v>
      </c>
      <c r="H990" t="s">
        <v>46</v>
      </c>
      <c r="I990" t="s">
        <v>17</v>
      </c>
      <c r="J990">
        <v>21264</v>
      </c>
      <c r="K990">
        <v>13511</v>
      </c>
      <c r="L990">
        <v>1</v>
      </c>
    </row>
    <row r="991" spans="1:12" x14ac:dyDescent="0.3">
      <c r="A991">
        <v>1990</v>
      </c>
      <c r="B991" s="1">
        <v>44988</v>
      </c>
      <c r="C991">
        <v>2023</v>
      </c>
      <c r="D991" t="s">
        <v>49</v>
      </c>
      <c r="E991" t="s">
        <v>19</v>
      </c>
      <c r="F991" t="s">
        <v>40</v>
      </c>
      <c r="G991" t="s">
        <v>40</v>
      </c>
      <c r="H991" t="s">
        <v>46</v>
      </c>
      <c r="I991" t="s">
        <v>17</v>
      </c>
      <c r="J991">
        <v>19739</v>
      </c>
      <c r="K991">
        <v>16646</v>
      </c>
      <c r="L991">
        <v>4</v>
      </c>
    </row>
    <row r="992" spans="1:12" x14ac:dyDescent="0.3">
      <c r="A992">
        <v>1991</v>
      </c>
      <c r="B992" s="1">
        <v>45442</v>
      </c>
      <c r="C992">
        <v>2024</v>
      </c>
      <c r="D992" t="s">
        <v>18</v>
      </c>
      <c r="E992" t="s">
        <v>19</v>
      </c>
      <c r="F992" t="s">
        <v>20</v>
      </c>
      <c r="G992" t="s">
        <v>21</v>
      </c>
      <c r="H992" t="s">
        <v>46</v>
      </c>
      <c r="I992" t="s">
        <v>17</v>
      </c>
      <c r="J992">
        <v>19808</v>
      </c>
      <c r="K992">
        <v>14136</v>
      </c>
      <c r="L992">
        <v>2</v>
      </c>
    </row>
    <row r="993" spans="1:12" x14ac:dyDescent="0.3">
      <c r="A993">
        <v>1992</v>
      </c>
      <c r="B993" s="1">
        <v>45300</v>
      </c>
      <c r="C993">
        <v>2024</v>
      </c>
      <c r="D993" t="s">
        <v>35</v>
      </c>
      <c r="E993" t="s">
        <v>24</v>
      </c>
      <c r="F993" t="s">
        <v>25</v>
      </c>
      <c r="G993" t="s">
        <v>29</v>
      </c>
      <c r="H993" t="s">
        <v>30</v>
      </c>
      <c r="I993" t="s">
        <v>23</v>
      </c>
      <c r="J993">
        <v>11512</v>
      </c>
      <c r="K993">
        <v>8185</v>
      </c>
      <c r="L993">
        <v>2</v>
      </c>
    </row>
    <row r="994" spans="1:12" x14ac:dyDescent="0.3">
      <c r="A994">
        <v>1993</v>
      </c>
      <c r="B994" s="1">
        <v>45088</v>
      </c>
      <c r="C994">
        <v>2023</v>
      </c>
      <c r="D994" t="s">
        <v>31</v>
      </c>
      <c r="E994" t="s">
        <v>24</v>
      </c>
      <c r="F994" t="s">
        <v>25</v>
      </c>
      <c r="G994" t="s">
        <v>29</v>
      </c>
      <c r="H994" t="s">
        <v>34</v>
      </c>
      <c r="I994" t="s">
        <v>23</v>
      </c>
      <c r="J994">
        <v>22149</v>
      </c>
      <c r="K994">
        <v>15916</v>
      </c>
      <c r="L994">
        <v>5</v>
      </c>
    </row>
    <row r="995" spans="1:12" x14ac:dyDescent="0.3">
      <c r="A995">
        <v>1994</v>
      </c>
      <c r="B995" s="1">
        <v>45243</v>
      </c>
      <c r="C995">
        <v>2023</v>
      </c>
      <c r="D995" t="s">
        <v>39</v>
      </c>
      <c r="E995" t="s">
        <v>13</v>
      </c>
      <c r="F995" t="s">
        <v>43</v>
      </c>
      <c r="G995" t="s">
        <v>44</v>
      </c>
      <c r="H995" t="s">
        <v>41</v>
      </c>
      <c r="I995" t="s">
        <v>23</v>
      </c>
      <c r="J995">
        <v>13758</v>
      </c>
      <c r="K995">
        <v>10687</v>
      </c>
      <c r="L995">
        <v>4</v>
      </c>
    </row>
    <row r="996" spans="1:12" x14ac:dyDescent="0.3">
      <c r="A996">
        <v>1995</v>
      </c>
      <c r="B996" s="1">
        <v>45517</v>
      </c>
      <c r="C996">
        <v>2024</v>
      </c>
      <c r="D996" t="s">
        <v>48</v>
      </c>
      <c r="E996" t="s">
        <v>24</v>
      </c>
      <c r="F996" t="s">
        <v>32</v>
      </c>
      <c r="G996" t="s">
        <v>33</v>
      </c>
      <c r="H996" t="s">
        <v>16</v>
      </c>
      <c r="I996" t="s">
        <v>17</v>
      </c>
      <c r="J996">
        <v>50948</v>
      </c>
      <c r="K996">
        <v>37637</v>
      </c>
      <c r="L996">
        <v>3</v>
      </c>
    </row>
    <row r="997" spans="1:12" x14ac:dyDescent="0.3">
      <c r="A997">
        <v>1996</v>
      </c>
      <c r="B997" s="1">
        <v>44959</v>
      </c>
      <c r="C997">
        <v>2023</v>
      </c>
      <c r="D997" t="s">
        <v>45</v>
      </c>
      <c r="E997" t="s">
        <v>13</v>
      </c>
      <c r="F997" t="s">
        <v>14</v>
      </c>
      <c r="G997" t="s">
        <v>15</v>
      </c>
      <c r="H997" t="s">
        <v>16</v>
      </c>
      <c r="I997" t="s">
        <v>17</v>
      </c>
      <c r="J997">
        <v>45139</v>
      </c>
      <c r="K997">
        <v>36786</v>
      </c>
      <c r="L997">
        <v>2</v>
      </c>
    </row>
    <row r="998" spans="1:12" x14ac:dyDescent="0.3">
      <c r="A998">
        <v>1997</v>
      </c>
      <c r="B998" s="1">
        <v>44938</v>
      </c>
      <c r="C998">
        <v>2023</v>
      </c>
      <c r="D998" t="s">
        <v>35</v>
      </c>
      <c r="E998" t="s">
        <v>13</v>
      </c>
      <c r="F998" t="s">
        <v>36</v>
      </c>
      <c r="G998" t="s">
        <v>37</v>
      </c>
      <c r="H998" t="s">
        <v>41</v>
      </c>
      <c r="I998" t="s">
        <v>23</v>
      </c>
      <c r="J998">
        <v>9522</v>
      </c>
      <c r="K998">
        <v>5937</v>
      </c>
      <c r="L998">
        <v>5</v>
      </c>
    </row>
    <row r="999" spans="1:12" x14ac:dyDescent="0.3">
      <c r="A999">
        <v>1998</v>
      </c>
      <c r="B999" s="1">
        <v>45376</v>
      </c>
      <c r="C999">
        <v>2024</v>
      </c>
      <c r="D999" t="s">
        <v>49</v>
      </c>
      <c r="E999" t="s">
        <v>19</v>
      </c>
      <c r="F999" t="s">
        <v>20</v>
      </c>
      <c r="G999" t="s">
        <v>21</v>
      </c>
      <c r="H999" t="s">
        <v>16</v>
      </c>
      <c r="I999" t="s">
        <v>17</v>
      </c>
      <c r="J999">
        <v>48380</v>
      </c>
      <c r="K999">
        <v>40788</v>
      </c>
      <c r="L999">
        <v>3</v>
      </c>
    </row>
    <row r="1000" spans="1:12" x14ac:dyDescent="0.3">
      <c r="A1000">
        <v>1999</v>
      </c>
      <c r="B1000" s="1">
        <v>45345</v>
      </c>
      <c r="C1000">
        <v>2024</v>
      </c>
      <c r="D1000" t="s">
        <v>45</v>
      </c>
      <c r="E1000" t="s">
        <v>19</v>
      </c>
      <c r="F1000" t="s">
        <v>40</v>
      </c>
      <c r="G1000" t="s">
        <v>40</v>
      </c>
      <c r="H1000" t="s">
        <v>22</v>
      </c>
      <c r="I1000" t="s">
        <v>23</v>
      </c>
      <c r="J1000">
        <v>8769</v>
      </c>
      <c r="K1000">
        <v>5746</v>
      </c>
      <c r="L1000">
        <v>2</v>
      </c>
    </row>
    <row r="1001" spans="1:12" x14ac:dyDescent="0.3">
      <c r="A1001">
        <v>2000</v>
      </c>
      <c r="B1001" s="1">
        <v>45033</v>
      </c>
      <c r="C1001">
        <v>2023</v>
      </c>
      <c r="D1001" t="s">
        <v>38</v>
      </c>
      <c r="E1001" t="s">
        <v>13</v>
      </c>
      <c r="F1001" t="s">
        <v>36</v>
      </c>
      <c r="G1001" t="s">
        <v>37</v>
      </c>
      <c r="H1001" t="s">
        <v>16</v>
      </c>
      <c r="I1001" t="s">
        <v>17</v>
      </c>
      <c r="J1001">
        <v>47822</v>
      </c>
      <c r="K1001">
        <v>35389</v>
      </c>
      <c r="L100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906A3-5574-4B17-BEEA-DEC128D52C03}">
  <dimension ref="A1"/>
  <sheetViews>
    <sheetView showGridLines="0" tabSelected="1" zoomScale="80" zoomScaleNormal="80" workbookViewId="0">
      <selection activeCell="X4" sqref="X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0C3F275-BFE9-4C53-A3A0-3BCEEE547F29}">
  <ds:schemaRefs/>
</ds:datastoreItem>
</file>

<file path=customXml/itemProps2.xml><?xml version="1.0" encoding="utf-8"?>
<ds:datastoreItem xmlns:ds="http://schemas.openxmlformats.org/officeDocument/2006/customXml" ds:itemID="{15F69CF6-EDF5-47C9-A6B6-62F02FEB30C9}">
  <ds:schemaRefs/>
</ds:datastoreItem>
</file>

<file path=customXml/itemProps3.xml><?xml version="1.0" encoding="utf-8"?>
<ds:datastoreItem xmlns:ds="http://schemas.openxmlformats.org/officeDocument/2006/customXml" ds:itemID="{D337EB83-1BCB-4967-8712-63E0CFE86E79}">
  <ds:schemaRefs/>
</ds:datastoreItem>
</file>

<file path=customXml/itemProps4.xml><?xml version="1.0" encoding="utf-8"?>
<ds:datastoreItem xmlns:ds="http://schemas.openxmlformats.org/officeDocument/2006/customXml" ds:itemID="{96E4827A-AF52-4212-91FD-7ECFDCAAFD42}">
  <ds:schemaRefs/>
</ds:datastoreItem>
</file>

<file path=customXml/itemProps5.xml><?xml version="1.0" encoding="utf-8"?>
<ds:datastoreItem xmlns:ds="http://schemas.openxmlformats.org/officeDocument/2006/customXml" ds:itemID="{581D9352-FFD8-4A9D-B30E-50E99CA0C47E}">
  <ds:schemaRefs/>
</ds:datastoreItem>
</file>

<file path=customXml/itemProps6.xml><?xml version="1.0" encoding="utf-8"?>
<ds:datastoreItem xmlns:ds="http://schemas.openxmlformats.org/officeDocument/2006/customXml" ds:itemID="{5AEBF0D4-E3DB-4784-AD76-BDA728A0FE35}">
  <ds:schemaRefs/>
</ds:datastoreItem>
</file>

<file path=customXml/itemProps7.xml><?xml version="1.0" encoding="utf-8"?>
<ds:datastoreItem xmlns:ds="http://schemas.openxmlformats.org/officeDocument/2006/customXml" ds:itemID="{EF6CE302-64D2-4A26-AF82-E698E38C6A8D}">
  <ds:schemaRefs/>
</ds:datastoreItem>
</file>

<file path=customXml/itemProps8.xml><?xml version="1.0" encoding="utf-8"?>
<ds:datastoreItem xmlns:ds="http://schemas.openxmlformats.org/officeDocument/2006/customXml" ds:itemID="{7D5B03E1-7AD7-4467-9448-E4602F7195C0}">
  <ds:schemaRefs/>
</ds:datastoreItem>
</file>

<file path=customXml/itemProps9.xml><?xml version="1.0" encoding="utf-8"?>
<ds:datastoreItem xmlns:ds="http://schemas.openxmlformats.org/officeDocument/2006/customXml" ds:itemID="{7B6F6C00-9758-4CBB-BBE9-EB4F1B82A8B0}">
  <ds:schemaRefs/>
</ds:datastoreItem>
</file>

<file path=customXml/itemProps10.xml><?xml version="1.0" encoding="utf-8"?>
<ds:datastoreItem xmlns:ds="http://schemas.openxmlformats.org/officeDocument/2006/customXml" ds:itemID="{C7E2D116-5E82-4248-9FC8-2EB49BBA1BC2}">
  <ds:schemaRefs/>
</ds:datastoreItem>
</file>

<file path=customXml/itemProps11.xml><?xml version="1.0" encoding="utf-8"?>
<ds:datastoreItem xmlns:ds="http://schemas.openxmlformats.org/officeDocument/2006/customXml" ds:itemID="{F0C58BE0-CD60-408B-B0C8-CAE73DA30BD4}">
  <ds:schemaRefs/>
</ds:datastoreItem>
</file>

<file path=customXml/itemProps12.xml><?xml version="1.0" encoding="utf-8"?>
<ds:datastoreItem xmlns:ds="http://schemas.openxmlformats.org/officeDocument/2006/customXml" ds:itemID="{4BDC8AFD-827D-4F88-B3F9-E215C97EACC8}">
  <ds:schemaRefs/>
</ds:datastoreItem>
</file>

<file path=customXml/itemProps13.xml><?xml version="1.0" encoding="utf-8"?>
<ds:datastoreItem xmlns:ds="http://schemas.openxmlformats.org/officeDocument/2006/customXml" ds:itemID="{C7A28586-9E81-4132-AB5F-3A5704F48ADE}">
  <ds:schemaRefs/>
</ds:datastoreItem>
</file>

<file path=customXml/itemProps14.xml><?xml version="1.0" encoding="utf-8"?>
<ds:datastoreItem xmlns:ds="http://schemas.openxmlformats.org/officeDocument/2006/customXml" ds:itemID="{B386F2FF-B9CA-47A4-B788-0D3468B495C9}">
  <ds:schemaRefs/>
</ds:datastoreItem>
</file>

<file path=customXml/itemProps15.xml><?xml version="1.0" encoding="utf-8"?>
<ds:datastoreItem xmlns:ds="http://schemas.openxmlformats.org/officeDocument/2006/customXml" ds:itemID="{BD6E322D-0B35-45D2-999A-59DBE73532E2}">
  <ds:schemaRefs/>
</ds:datastoreItem>
</file>

<file path=customXml/itemProps16.xml><?xml version="1.0" encoding="utf-8"?>
<ds:datastoreItem xmlns:ds="http://schemas.openxmlformats.org/officeDocument/2006/customXml" ds:itemID="{0C2AC405-964C-4D76-97D0-2BF6836610DD}">
  <ds:schemaRefs/>
</ds:datastoreItem>
</file>

<file path=customXml/itemProps17.xml><?xml version="1.0" encoding="utf-8"?>
<ds:datastoreItem xmlns:ds="http://schemas.openxmlformats.org/officeDocument/2006/customXml" ds:itemID="{D040FEEE-9276-46F2-BE78-E44C1981324E}">
  <ds:schemaRefs/>
</ds:datastoreItem>
</file>

<file path=customXml/itemProps18.xml><?xml version="1.0" encoding="utf-8"?>
<ds:datastoreItem xmlns:ds="http://schemas.openxmlformats.org/officeDocument/2006/customXml" ds:itemID="{327C7BDE-A866-4992-8B7E-BCFA18814A86}">
  <ds:schemaRefs/>
</ds:datastoreItem>
</file>

<file path=customXml/itemProps19.xml><?xml version="1.0" encoding="utf-8"?>
<ds:datastoreItem xmlns:ds="http://schemas.openxmlformats.org/officeDocument/2006/customXml" ds:itemID="{8975183C-9A98-4092-8233-8C4BFA4B2BAD}">
  <ds:schemaRefs/>
</ds:datastoreItem>
</file>

<file path=customXml/itemProps20.xml><?xml version="1.0" encoding="utf-8"?>
<ds:datastoreItem xmlns:ds="http://schemas.openxmlformats.org/officeDocument/2006/customXml" ds:itemID="{1D48E43E-C6C8-4FA0-9203-225A9619D460}">
  <ds:schemaRefs/>
</ds:datastoreItem>
</file>

<file path=customXml/itemProps21.xml><?xml version="1.0" encoding="utf-8"?>
<ds:datastoreItem xmlns:ds="http://schemas.openxmlformats.org/officeDocument/2006/customXml" ds:itemID="{97F0B39F-F351-4E12-B200-61EB2399806D}">
  <ds:schemaRefs/>
</ds:datastoreItem>
</file>

<file path=customXml/itemProps22.xml><?xml version="1.0" encoding="utf-8"?>
<ds:datastoreItem xmlns:ds="http://schemas.openxmlformats.org/officeDocument/2006/customXml" ds:itemID="{5DAF4A06-578C-4E5E-8CBC-0A024456324D}">
  <ds:schemaRefs/>
</ds:datastoreItem>
</file>

<file path=customXml/itemProps23.xml><?xml version="1.0" encoding="utf-8"?>
<ds:datastoreItem xmlns:ds="http://schemas.openxmlformats.org/officeDocument/2006/customXml" ds:itemID="{56402CC5-AB89-499C-8700-063FFFE70523}">
  <ds:schemaRefs>
    <ds:schemaRef ds:uri="http://schemas.microsoft.com/DataMashup"/>
  </ds:schemaRefs>
</ds:datastoreItem>
</file>

<file path=customXml/itemProps24.xml><?xml version="1.0" encoding="utf-8"?>
<ds:datastoreItem xmlns:ds="http://schemas.openxmlformats.org/officeDocument/2006/customXml" ds:itemID="{5B1168DD-1F4B-44A8-B31A-774BFB0EB5F7}">
  <ds:schemaRefs/>
</ds:datastoreItem>
</file>

<file path=customXml/itemProps25.xml><?xml version="1.0" encoding="utf-8"?>
<ds:datastoreItem xmlns:ds="http://schemas.openxmlformats.org/officeDocument/2006/customXml" ds:itemID="{8DCBBDE6-BA10-4E16-8096-8134B07E45A7}">
  <ds:schemaRefs/>
</ds:datastoreItem>
</file>

<file path=customXml/itemProps26.xml><?xml version="1.0" encoding="utf-8"?>
<ds:datastoreItem xmlns:ds="http://schemas.openxmlformats.org/officeDocument/2006/customXml" ds:itemID="{798CD9D2-F2A9-4DA0-B78C-10F093FDAF4E}">
  <ds:schemaRefs/>
</ds:datastoreItem>
</file>

<file path=customXml/itemProps27.xml><?xml version="1.0" encoding="utf-8"?>
<ds:datastoreItem xmlns:ds="http://schemas.openxmlformats.org/officeDocument/2006/customXml" ds:itemID="{A9830E3D-65D5-4AA0-A69C-247F6F3B4A17}">
  <ds:schemaRefs/>
</ds:datastoreItem>
</file>

<file path=customXml/itemProps28.xml><?xml version="1.0" encoding="utf-8"?>
<ds:datastoreItem xmlns:ds="http://schemas.openxmlformats.org/officeDocument/2006/customXml" ds:itemID="{9D82C229-3A87-4CDE-80F5-4E511A4C91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2026-04-08T13:53:01Z</dcterms:created>
  <dcterms:modified xsi:type="dcterms:W3CDTF">2026-04-09T12:56:36Z</dcterms:modified>
</cp:coreProperties>
</file>