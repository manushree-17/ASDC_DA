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Manushree_DA_12\"/>
    </mc:Choice>
  </mc:AlternateContent>
  <xr:revisionPtr revIDLastSave="0" documentId="8_{2C8AB664-6A67-4E29-BE37-DB11C43F8C51}" xr6:coauthVersionLast="47" xr6:coauthVersionMax="47" xr10:uidLastSave="{00000000-0000-0000-0000-000000000000}"/>
  <bookViews>
    <workbookView xWindow="11100" yWindow="4140" windowWidth="14355" windowHeight="11295" xr2:uid="{45360DCD-0AD8-406F-9A17-440A1DC14E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27" i="1" l="1"/>
  <c r="K24" i="1"/>
  <c r="K21" i="1"/>
  <c r="K18" i="1"/>
  <c r="K15" i="1"/>
  <c r="G21" i="1"/>
  <c r="G24" i="1"/>
  <c r="G18" i="1"/>
  <c r="G15" i="1"/>
  <c r="C30" i="1"/>
  <c r="C27" i="1"/>
  <c r="C24" i="1"/>
  <c r="C21" i="1"/>
  <c r="C18" i="1"/>
  <c r="C15" i="1"/>
</calcChain>
</file>

<file path=xl/sharedStrings.xml><?xml version="1.0" encoding="utf-8"?>
<sst xmlns="http://schemas.openxmlformats.org/spreadsheetml/2006/main" count="99" uniqueCount="45">
  <si>
    <t>EmployeeID</t>
  </si>
  <si>
    <t>Name</t>
  </si>
  <si>
    <t>Department</t>
  </si>
  <si>
    <t>Location</t>
  </si>
  <si>
    <t>Salary</t>
  </si>
  <si>
    <t>JoiningYear</t>
  </si>
  <si>
    <t>E101</t>
  </si>
  <si>
    <t>Rahul Sharma</t>
  </si>
  <si>
    <t>Sales</t>
  </si>
  <si>
    <t>Mumbai</t>
  </si>
  <si>
    <t>E102</t>
  </si>
  <si>
    <t>Ananya Gupta</t>
  </si>
  <si>
    <t>HR</t>
  </si>
  <si>
    <t>Delhi</t>
  </si>
  <si>
    <t>E103</t>
  </si>
  <si>
    <t>Rohit Verma</t>
  </si>
  <si>
    <t>IT</t>
  </si>
  <si>
    <t>Bangalore</t>
  </si>
  <si>
    <t>E104</t>
  </si>
  <si>
    <t>Neha Singh</t>
  </si>
  <si>
    <t>Finance</t>
  </si>
  <si>
    <t>Pune</t>
  </si>
  <si>
    <t>E105</t>
  </si>
  <si>
    <t>Aman Kumar</t>
  </si>
  <si>
    <t>Marketing</t>
  </si>
  <si>
    <t>E106</t>
  </si>
  <si>
    <t>Pooja Mehta</t>
  </si>
  <si>
    <t>Chennai</t>
  </si>
  <si>
    <t>E107</t>
  </si>
  <si>
    <t>Suresh Rao</t>
  </si>
  <si>
    <t>Hyderabad</t>
  </si>
  <si>
    <t>E108</t>
  </si>
  <si>
    <t>Kavita Iyer</t>
  </si>
  <si>
    <t>Bonus %</t>
  </si>
  <si>
    <t>VLOOKUP Tasks (1–6)</t>
  </si>
  <si>
    <t>Sheet: Department_Bonus (Horizontal Table)</t>
  </si>
  <si>
    <t>Sheet: Search_Input</t>
  </si>
  <si>
    <t>E109</t>
  </si>
  <si>
    <t>HLOOKUP Tasks (7–10)</t>
  </si>
  <si>
    <t>Bonus</t>
  </si>
  <si>
    <t>Accounting</t>
  </si>
  <si>
    <t>Bonus Amount</t>
  </si>
  <si>
    <t>XLOOKUP Tasks (11–15)</t>
  </si>
  <si>
    <t>Employee Name</t>
  </si>
  <si>
    <t>E999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</si>
</sst>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Bahnschrift SemiCondensed"/>
      <family val="2"/>
    </font>
    <font>
      <sz val="11"/>
      <color theme="1"/>
      <name val="Bahnschrift SemiCondensed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/>
    <xf numFmtId="0" fontId="4" fillId="2" borderId="1" xfId="0" applyFont="1" applyFill="1" applyBorder="1"/>
    <xf numFmtId="0" fontId="2" fillId="0" borderId="1" xfId="0" applyFont="1" applyBorder="1"/>
    <xf numFmtId="9" fontId="2" fillId="0" borderId="1" xfId="0" applyNumberFormat="1" applyFont="1" applyBorder="1"/>
    <xf numFmtId="0" fontId="2" fillId="3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  <xf numFmtId="0" fontId="5" fillId="6" borderId="0" xfId="0" applyFont="1" applyFill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9" fontId="2" fillId="0" borderId="0" xfId="1" applyFont="1"/>
    <xf numFmtId="0" fontId="2" fillId="0" borderId="0" xfId="0" applyFon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CD466-859E-4146-B88B-0EBF70F8B6FC}">
  <dimension ref="A1:M30"/>
  <sheetViews>
    <sheetView tabSelected="1" zoomScale="110" zoomScaleNormal="110" workbookViewId="0">
      <selection activeCell="G30" sqref="G30"/>
    </sheetView>
  </sheetViews>
  <sheetFormatPr defaultRowHeight="15" x14ac:dyDescent="0.25"/>
  <cols>
    <col min="1" max="1" width="11.375" style="1" bestFit="1" customWidth="1"/>
    <col min="2" max="2" width="11.625" style="1" bestFit="1" customWidth="1"/>
    <col min="3" max="3" width="11.375" style="1" bestFit="1" customWidth="1"/>
    <col min="4" max="4" width="9.25" style="1" bestFit="1" customWidth="1"/>
    <col min="5" max="5" width="6.25" style="1" bestFit="1" customWidth="1"/>
    <col min="6" max="6" width="10.25" style="1" bestFit="1" customWidth="1"/>
    <col min="7" max="7" width="12.125" style="1" bestFit="1" customWidth="1"/>
    <col min="8" max="8" width="10.25" style="1" bestFit="1" customWidth="1"/>
    <col min="9" max="9" width="10.5" style="1" bestFit="1" customWidth="1"/>
    <col min="10" max="10" width="13.75" style="1" bestFit="1" customWidth="1"/>
    <col min="11" max="11" width="17.375" style="1" bestFit="1" customWidth="1"/>
    <col min="12" max="12" width="6.875" style="1" bestFit="1" customWidth="1"/>
    <col min="13" max="13" width="8.75" style="1" bestFit="1" customWidth="1"/>
    <col min="14" max="16384" width="9" style="1"/>
  </cols>
  <sheetData>
    <row r="1" spans="1:13" ht="15.7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13" x14ac:dyDescent="0.25">
      <c r="A2" s="3" t="s">
        <v>6</v>
      </c>
      <c r="B2" s="3" t="s">
        <v>7</v>
      </c>
      <c r="C2" s="3" t="s">
        <v>8</v>
      </c>
      <c r="D2" s="3" t="s">
        <v>9</v>
      </c>
      <c r="E2" s="3">
        <v>45000</v>
      </c>
      <c r="F2" s="3">
        <v>2019</v>
      </c>
      <c r="H2" s="9" t="s">
        <v>35</v>
      </c>
      <c r="I2" s="9"/>
      <c r="J2" s="9"/>
      <c r="K2" s="9"/>
      <c r="L2" s="9"/>
      <c r="M2" s="9"/>
    </row>
    <row r="3" spans="1:13" x14ac:dyDescent="0.25">
      <c r="A3" s="3" t="s">
        <v>10</v>
      </c>
      <c r="B3" s="3" t="s">
        <v>11</v>
      </c>
      <c r="C3" s="3" t="s">
        <v>12</v>
      </c>
      <c r="D3" s="3" t="s">
        <v>13</v>
      </c>
      <c r="E3" s="3">
        <v>52000</v>
      </c>
      <c r="F3" s="3">
        <v>2018</v>
      </c>
      <c r="H3" s="6" t="s">
        <v>2</v>
      </c>
      <c r="I3" s="5" t="s">
        <v>8</v>
      </c>
      <c r="J3" s="5" t="s">
        <v>12</v>
      </c>
      <c r="K3" s="5" t="s">
        <v>16</v>
      </c>
      <c r="L3" s="5" t="s">
        <v>20</v>
      </c>
      <c r="M3" s="5" t="s">
        <v>24</v>
      </c>
    </row>
    <row r="4" spans="1:13" x14ac:dyDescent="0.25">
      <c r="A4" s="3" t="s">
        <v>14</v>
      </c>
      <c r="B4" s="3" t="s">
        <v>15</v>
      </c>
      <c r="C4" s="3" t="s">
        <v>16</v>
      </c>
      <c r="D4" s="3" t="s">
        <v>17</v>
      </c>
      <c r="E4" s="3">
        <v>65000</v>
      </c>
      <c r="F4" s="3">
        <v>2020</v>
      </c>
      <c r="H4" s="6" t="s">
        <v>33</v>
      </c>
      <c r="I4" s="4">
        <v>0.1</v>
      </c>
      <c r="J4" s="4">
        <v>0.08</v>
      </c>
      <c r="K4" s="4">
        <v>0.12</v>
      </c>
      <c r="L4" s="4">
        <v>0.15</v>
      </c>
      <c r="M4" s="4">
        <v>0.09</v>
      </c>
    </row>
    <row r="5" spans="1:13" x14ac:dyDescent="0.25">
      <c r="A5" s="3" t="s">
        <v>18</v>
      </c>
      <c r="B5" s="3" t="s">
        <v>19</v>
      </c>
      <c r="C5" s="3" t="s">
        <v>20</v>
      </c>
      <c r="D5" s="3" t="s">
        <v>21</v>
      </c>
      <c r="E5" s="3">
        <v>58000</v>
      </c>
      <c r="F5" s="3">
        <v>2017</v>
      </c>
    </row>
    <row r="6" spans="1:13" x14ac:dyDescent="0.25">
      <c r="A6" s="3" t="s">
        <v>22</v>
      </c>
      <c r="B6" s="3" t="s">
        <v>23</v>
      </c>
      <c r="C6" s="3" t="s">
        <v>24</v>
      </c>
      <c r="D6" s="3" t="s">
        <v>9</v>
      </c>
      <c r="E6" s="3">
        <v>48000</v>
      </c>
      <c r="F6" s="3">
        <v>2021</v>
      </c>
    </row>
    <row r="7" spans="1:13" x14ac:dyDescent="0.25">
      <c r="A7" s="3" t="s">
        <v>25</v>
      </c>
      <c r="B7" s="3" t="s">
        <v>26</v>
      </c>
      <c r="C7" s="3" t="s">
        <v>16</v>
      </c>
      <c r="D7" s="3" t="s">
        <v>27</v>
      </c>
      <c r="E7" s="3">
        <v>62000</v>
      </c>
      <c r="F7" s="3">
        <v>2019</v>
      </c>
      <c r="H7" s="9" t="s">
        <v>36</v>
      </c>
      <c r="I7" s="9"/>
    </row>
    <row r="8" spans="1:13" x14ac:dyDescent="0.25">
      <c r="A8" s="3" t="s">
        <v>28</v>
      </c>
      <c r="B8" s="3" t="s">
        <v>29</v>
      </c>
      <c r="C8" s="3" t="s">
        <v>8</v>
      </c>
      <c r="D8" s="3" t="s">
        <v>30</v>
      </c>
      <c r="E8" s="3">
        <v>47000</v>
      </c>
      <c r="F8" s="3">
        <v>2020</v>
      </c>
      <c r="H8" s="7" t="s">
        <v>0</v>
      </c>
      <c r="I8" s="7" t="s">
        <v>1</v>
      </c>
    </row>
    <row r="9" spans="1:13" x14ac:dyDescent="0.25">
      <c r="A9" s="3" t="s">
        <v>31</v>
      </c>
      <c r="B9" s="3" t="s">
        <v>32</v>
      </c>
      <c r="C9" s="3" t="s">
        <v>12</v>
      </c>
      <c r="D9" s="3" t="s">
        <v>17</v>
      </c>
      <c r="E9" s="3">
        <v>54000</v>
      </c>
      <c r="F9" s="3">
        <v>2016</v>
      </c>
      <c r="H9" s="3" t="s">
        <v>18</v>
      </c>
      <c r="I9" s="3" t="s">
        <v>15</v>
      </c>
    </row>
    <row r="11" spans="1:13" ht="15.75" thickBot="1" x14ac:dyDescent="0.3"/>
    <row r="12" spans="1:13" ht="16.5" thickBot="1" x14ac:dyDescent="0.3">
      <c r="A12" s="10" t="s">
        <v>34</v>
      </c>
      <c r="B12" s="11"/>
      <c r="C12" s="12"/>
      <c r="E12" s="10" t="s">
        <v>38</v>
      </c>
      <c r="F12" s="11"/>
      <c r="G12" s="12"/>
      <c r="I12" s="10" t="s">
        <v>42</v>
      </c>
      <c r="J12" s="11"/>
      <c r="K12" s="12"/>
    </row>
    <row r="14" spans="1:13" x14ac:dyDescent="0.25">
      <c r="A14" s="8">
        <v>1</v>
      </c>
      <c r="B14" s="1" t="s">
        <v>0</v>
      </c>
      <c r="C14" s="1" t="s">
        <v>1</v>
      </c>
      <c r="E14" s="8">
        <v>7</v>
      </c>
      <c r="F14" s="1" t="s">
        <v>2</v>
      </c>
      <c r="G14" s="1" t="s">
        <v>39</v>
      </c>
      <c r="I14" s="8">
        <v>11</v>
      </c>
      <c r="J14" s="1" t="s">
        <v>0</v>
      </c>
      <c r="K14" s="1" t="s">
        <v>4</v>
      </c>
    </row>
    <row r="15" spans="1:13" x14ac:dyDescent="0.25">
      <c r="B15" s="1" t="s">
        <v>18</v>
      </c>
      <c r="C15" s="1" t="str">
        <f>VLOOKUP(B15,H8:I9,2,0)</f>
        <v>Rohit Verma</v>
      </c>
      <c r="F15" s="1" t="s">
        <v>16</v>
      </c>
      <c r="G15" s="13">
        <f>HLOOKUP(F15,H3:M4,2,0)</f>
        <v>0.12</v>
      </c>
      <c r="J15" s="1" t="s">
        <v>18</v>
      </c>
      <c r="K15" s="1">
        <f>_xlfn.XLOOKUP(J15,A2:A9,E2:E9)</f>
        <v>58000</v>
      </c>
    </row>
    <row r="17" spans="1:11" x14ac:dyDescent="0.25">
      <c r="A17" s="8">
        <v>2</v>
      </c>
      <c r="B17" s="1" t="s">
        <v>0</v>
      </c>
      <c r="C17" s="1" t="s">
        <v>2</v>
      </c>
      <c r="E17" s="8">
        <v>8</v>
      </c>
      <c r="F17" s="1" t="s">
        <v>2</v>
      </c>
      <c r="G17" s="1" t="s">
        <v>39</v>
      </c>
      <c r="I17" s="8">
        <v>12</v>
      </c>
      <c r="J17" s="1" t="s">
        <v>43</v>
      </c>
      <c r="K17" s="1" t="s">
        <v>2</v>
      </c>
    </row>
    <row r="18" spans="1:11" x14ac:dyDescent="0.25">
      <c r="B18" s="1" t="s">
        <v>28</v>
      </c>
      <c r="C18" s="1" t="str">
        <f>VLOOKUP(B18,A1:F9,3,0)</f>
        <v>Sales</v>
      </c>
      <c r="F18" s="1" t="s">
        <v>20</v>
      </c>
      <c r="G18" s="13">
        <f>HLOOKUP(F18,H3:M4,2,0)</f>
        <v>0.15</v>
      </c>
      <c r="J18" s="14" t="s">
        <v>23</v>
      </c>
      <c r="K18" s="1" t="str">
        <f>_xlfn.XLOOKUP(J18,B2:B9,C2:C9)</f>
        <v>Marketing</v>
      </c>
    </row>
    <row r="20" spans="1:11" x14ac:dyDescent="0.25">
      <c r="A20" s="8">
        <v>3</v>
      </c>
      <c r="B20" s="1" t="s">
        <v>1</v>
      </c>
      <c r="C20" s="1" t="s">
        <v>4</v>
      </c>
      <c r="E20" s="8">
        <v>9</v>
      </c>
      <c r="F20" s="1" t="s">
        <v>0</v>
      </c>
      <c r="G20" s="1" t="s">
        <v>41</v>
      </c>
      <c r="I20" s="8">
        <v>13</v>
      </c>
      <c r="J20" s="1" t="s">
        <v>43</v>
      </c>
      <c r="K20" s="1" t="s">
        <v>3</v>
      </c>
    </row>
    <row r="21" spans="1:11" x14ac:dyDescent="0.25">
      <c r="B21" s="1" t="s">
        <v>19</v>
      </c>
      <c r="C21" s="1">
        <f>VLOOKUP(B21,B1:F9,4,0)</f>
        <v>58000</v>
      </c>
      <c r="F21" s="1" t="s">
        <v>18</v>
      </c>
      <c r="G21" s="1">
        <f>VLOOKUP(F21,A1:F9,5,0)* HLOOKUP(VLOOKUP(F21,A1:F9,3,0),H3:M4,2,0)</f>
        <v>8700</v>
      </c>
      <c r="J21" s="14" t="s">
        <v>15</v>
      </c>
      <c r="K21" s="1" t="str">
        <f>_xlfn.XLOOKUP(J21,B2:B9,D2:D9)</f>
        <v>Bangalore</v>
      </c>
    </row>
    <row r="23" spans="1:11" x14ac:dyDescent="0.25">
      <c r="A23" s="8">
        <v>4</v>
      </c>
      <c r="B23" s="1" t="s">
        <v>0</v>
      </c>
      <c r="C23" s="1" t="s">
        <v>3</v>
      </c>
      <c r="E23" s="8">
        <v>10</v>
      </c>
      <c r="F23" s="1" t="s">
        <v>2</v>
      </c>
      <c r="G23" s="1" t="s">
        <v>39</v>
      </c>
      <c r="I23" s="8">
        <v>14</v>
      </c>
      <c r="J23" s="1" t="s">
        <v>0</v>
      </c>
      <c r="K23" s="1" t="s">
        <v>2</v>
      </c>
    </row>
    <row r="24" spans="1:11" x14ac:dyDescent="0.25">
      <c r="B24" s="1" t="s">
        <v>28</v>
      </c>
      <c r="C24" s="1" t="str">
        <f>VLOOKUP(B24,A1:F9,4,0)</f>
        <v>Hyderabad</v>
      </c>
      <c r="F24" s="1" t="s">
        <v>40</v>
      </c>
      <c r="G24" s="1" t="str">
        <f>IFERROR(HLOOKUP(F24,H3:M4,2,0),"No Bonus Data")</f>
        <v>No Bonus Data</v>
      </c>
      <c r="J24" s="1" t="s">
        <v>44</v>
      </c>
      <c r="K24" s="1" t="str">
        <f>_xlfn.XLOOKUP(J24,A2:A9,C2:C9,"Employee Not Found")</f>
        <v>Employee Not Found</v>
      </c>
    </row>
    <row r="26" spans="1:11" x14ac:dyDescent="0.25">
      <c r="A26" s="8">
        <v>5</v>
      </c>
      <c r="B26" s="1" t="s">
        <v>0</v>
      </c>
      <c r="C26" s="1" t="s">
        <v>1</v>
      </c>
      <c r="I26" s="8">
        <v>15</v>
      </c>
      <c r="J26" s="1" t="s">
        <v>2</v>
      </c>
      <c r="K26" s="1" t="s">
        <v>39</v>
      </c>
    </row>
    <row r="27" spans="1:11" x14ac:dyDescent="0.25">
      <c r="B27" s="1" t="s">
        <v>37</v>
      </c>
      <c r="C27" s="1" t="str">
        <f>IFERROR(VLOOKUP(B27,A1:F9,2,0),"Not Found")</f>
        <v>Not Found</v>
      </c>
      <c r="J27" s="1" t="s">
        <v>16</v>
      </c>
      <c r="K27" s="13">
        <f>_xlfn.XLOOKUP(J27,I3:M3,I4:M4)</f>
        <v>0.12</v>
      </c>
    </row>
    <row r="29" spans="1:11" x14ac:dyDescent="0.25">
      <c r="A29" s="8">
        <v>6</v>
      </c>
      <c r="B29" s="1" t="s">
        <v>0</v>
      </c>
      <c r="C29" s="1" t="s">
        <v>5</v>
      </c>
    </row>
    <row r="30" spans="1:11" x14ac:dyDescent="0.25">
      <c r="B30" s="1" t="s">
        <v>6</v>
      </c>
      <c r="C30" s="1">
        <f>VLOOKUP(B30,A1:F9,6,0)</f>
        <v>2019</v>
      </c>
    </row>
  </sheetData>
  <mergeCells count="5">
    <mergeCell ref="H2:M2"/>
    <mergeCell ref="H7:I7"/>
    <mergeCell ref="A12:C12"/>
    <mergeCell ref="E12:G12"/>
    <mergeCell ref="I12:K12"/>
  </mergeCells>
  <dataValidations count="1">
    <dataValidation type="list" allowBlank="1" showInputMessage="1" showErrorMessage="1" sqref="B21" xr:uid="{7DB68350-0687-473C-B05B-6C81E28DBDBE}">
      <formula1>$B$2:$B$9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ASDC3</dc:creator>
  <cp:lastModifiedBy>ASDC3</cp:lastModifiedBy>
  <dcterms:created xsi:type="dcterms:W3CDTF">2026-04-02T13:30:42Z</dcterms:created>
  <dcterms:modified xsi:type="dcterms:W3CDTF">2026-04-02T14:27:28Z</dcterms:modified>
</cp:coreProperties>
</file>