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C6C2D52-5F05-41B3-AEBC-6DDF7AAFA269}" xr6:coauthVersionLast="47" xr6:coauthVersionMax="47" xr10:uidLastSave="{00000000-0000-0000-0000-000000000000}"/>
  <bookViews>
    <workbookView xWindow="-96" yWindow="0" windowWidth="14016" windowHeight="13056" firstSheet="4" activeTab="9" xr2:uid="{0D87C627-08AF-47D9-A4D7-4DD8C3614E5A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" i="9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" i="10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" i="4"/>
  <c r="C3" i="3" a="1"/>
  <c r="C3" i="3"/>
  <c r="C4" i="3" a="1"/>
  <c r="C4" i="3"/>
  <c r="C5" i="3" a="1"/>
  <c r="C5" i="3" s="1"/>
  <c r="C6" i="3" a="1"/>
  <c r="C6" i="3" s="1"/>
  <c r="C7" i="3" a="1"/>
  <c r="C7" i="3"/>
  <c r="C8" i="3" a="1"/>
  <c r="C8" i="3"/>
  <c r="C9" i="3" a="1"/>
  <c r="C9" i="3" s="1"/>
  <c r="C10" i="3" a="1"/>
  <c r="C10" i="3"/>
  <c r="C11" i="3" a="1"/>
  <c r="C11" i="3"/>
  <c r="C12" i="3" a="1"/>
  <c r="C12" i="3" s="1"/>
  <c r="C13" i="3" a="1"/>
  <c r="C13" i="3"/>
  <c r="C14" i="3" a="1"/>
  <c r="C14" i="3" s="1"/>
  <c r="C15" i="3" a="1"/>
  <c r="C15" i="3"/>
  <c r="C16" i="3" a="1"/>
  <c r="C16" i="3"/>
  <c r="C17" i="3" a="1"/>
  <c r="C17" i="3" s="1"/>
  <c r="C18" i="3" a="1"/>
  <c r="C18" i="3"/>
  <c r="C19" i="3" a="1"/>
  <c r="C19" i="3"/>
  <c r="C20" i="3" a="1"/>
  <c r="C20" i="3"/>
  <c r="C21" i="3" a="1"/>
  <c r="C21" i="3" s="1"/>
  <c r="C2" i="3" a="1"/>
  <c r="C2" i="3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<sst xmlns="http://schemas.openxmlformats.org/spreadsheetml/2006/main" count="255" uniqueCount="97">
  <si>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</si>
  <si>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</si>
  <si>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</si>
  <si>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</si>
  <si>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</si>
  <si>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</si>
  <si>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</si>
  <si>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</si>
  <si>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</si>
  <si>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Gun</t>
  </si>
  <si>
    <t>Heta</t>
  </si>
  <si>
    <t>Maitri</t>
  </si>
  <si>
    <t>Mayank</t>
  </si>
  <si>
    <t>Jasmine</t>
  </si>
  <si>
    <t>Angelina</t>
  </si>
  <si>
    <t>Tarun</t>
  </si>
  <si>
    <t>Karan</t>
  </si>
  <si>
    <t>Dhvani</t>
  </si>
  <si>
    <t>Sanjana</t>
  </si>
  <si>
    <t>Raj</t>
  </si>
  <si>
    <t>Rahul</t>
  </si>
  <si>
    <t>Sameer</t>
  </si>
  <si>
    <t>Rakesh</t>
  </si>
  <si>
    <t>Employee Name</t>
  </si>
  <si>
    <t>Salary</t>
  </si>
  <si>
    <t>Bonus Status</t>
  </si>
  <si>
    <t>Rohit</t>
  </si>
  <si>
    <t>Simran</t>
  </si>
  <si>
    <t>Vijay</t>
  </si>
  <si>
    <t>Nisha</t>
  </si>
  <si>
    <t>Hiren</t>
  </si>
  <si>
    <t>Grade</t>
  </si>
  <si>
    <t xml:space="preserve">Name </t>
  </si>
  <si>
    <t xml:space="preserve">Age </t>
  </si>
  <si>
    <t>Experience(Years)</t>
  </si>
  <si>
    <t>Eligible</t>
  </si>
  <si>
    <t>Divya</t>
  </si>
  <si>
    <t>Chetali</t>
  </si>
  <si>
    <t>Harsh</t>
  </si>
  <si>
    <t>Sujal</t>
  </si>
  <si>
    <t>Anjali</t>
  </si>
  <si>
    <t>Kajal</t>
  </si>
  <si>
    <t>Tanu</t>
  </si>
  <si>
    <t>Manu</t>
  </si>
  <si>
    <t>Shree</t>
  </si>
  <si>
    <t>Vanshika</t>
  </si>
  <si>
    <t>Piyush</t>
  </si>
  <si>
    <t>Saurav</t>
  </si>
  <si>
    <t>Disha</t>
  </si>
  <si>
    <t>Attendence %</t>
  </si>
  <si>
    <t>Assignment Submitted</t>
  </si>
  <si>
    <t>Yes</t>
  </si>
  <si>
    <t>No</t>
  </si>
  <si>
    <t>Eligiblity</t>
  </si>
  <si>
    <t>Customer Name</t>
  </si>
  <si>
    <t>Purchase Amount</t>
  </si>
  <si>
    <t>Membership</t>
  </si>
  <si>
    <t>Discount</t>
  </si>
  <si>
    <t>Aakash</t>
  </si>
  <si>
    <t>Bhavna</t>
  </si>
  <si>
    <t>Meera</t>
  </si>
  <si>
    <t>Arjun</t>
  </si>
  <si>
    <t>Sneha</t>
  </si>
  <si>
    <t>Vikram</t>
  </si>
  <si>
    <t>Pooja</t>
  </si>
  <si>
    <t>Neha</t>
  </si>
  <si>
    <t>Ankit</t>
  </si>
  <si>
    <t>Kavya</t>
  </si>
  <si>
    <t>Manish</t>
  </si>
  <si>
    <t>Isha</t>
  </si>
  <si>
    <t>Suresh</t>
  </si>
  <si>
    <t>Tanya</t>
  </si>
  <si>
    <t>Deepak</t>
  </si>
  <si>
    <t>Ritu</t>
  </si>
  <si>
    <t>Applicant</t>
  </si>
  <si>
    <t>CIBIL Score</t>
  </si>
  <si>
    <t>Loan Status</t>
  </si>
  <si>
    <t>Priya</t>
  </si>
  <si>
    <t>Kunal</t>
  </si>
  <si>
    <t>Varun</t>
  </si>
  <si>
    <t>Name</t>
  </si>
  <si>
    <t>Present</t>
  </si>
  <si>
    <t>Status</t>
  </si>
  <si>
    <t>Meena</t>
  </si>
  <si>
    <t>Number 1</t>
  </si>
  <si>
    <t>Number 2</t>
  </si>
  <si>
    <t>Targets Achieved</t>
  </si>
  <si>
    <t>Attendance %</t>
  </si>
  <si>
    <t>Performance</t>
  </si>
  <si>
    <t>Sunita</t>
  </si>
  <si>
    <t>Manoj</t>
  </si>
  <si>
    <t>Kavita</t>
  </si>
  <si>
    <t>Amit</t>
  </si>
  <si>
    <t>Kiran</t>
  </si>
  <si>
    <t>Ravi</t>
  </si>
  <si>
    <t>Mohit</t>
  </si>
  <si>
    <t>Seema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</si>
</sst>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ABE2-C831-4E6B-A642-3F66CB3249D4}">
  <dimension ref="A1:D21"/>
  <sheetViews>
    <sheetView workbookViewId="0">
      <selection activeCell="B7" sqref="B7:C21"/>
    </sheetView>
  </sheetViews>
  <sheetFormatPr defaultRowHeight="14.4" x14ac:dyDescent="0.3"/>
  <cols>
    <col min="1" max="1" width="6.77734375" bestFit="1" customWidth="1"/>
    <col min="2" max="2" width="12.44140625" bestFit="1" customWidth="1"/>
    <col min="3" max="3" width="5.77734375" bestFit="1" customWidth="1"/>
    <col min="4" max="4" width="6.109375" bestFit="1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>
        <v>78</v>
      </c>
      <c r="D2" s="1" t="str">
        <f>IF(C2&gt;=40,"Pass","Fail")</f>
        <v>Pass</v>
      </c>
    </row>
    <row r="3" spans="1:4" x14ac:dyDescent="0.3">
      <c r="A3" s="1">
        <v>2</v>
      </c>
      <c r="B3" s="1" t="s">
        <v>5</v>
      </c>
      <c r="C3" s="1">
        <v>35</v>
      </c>
      <c r="D3" s="1" t="str">
        <f t="shared" ref="D3:D21" si="0">IF(C3&gt;=40,"Pass","Fail")</f>
        <v>Fail</v>
      </c>
    </row>
    <row r="4" spans="1:4" x14ac:dyDescent="0.3">
      <c r="A4" s="1">
        <v>3</v>
      </c>
      <c r="B4" s="1" t="s">
        <v>6</v>
      </c>
      <c r="C4" s="1">
        <v>62</v>
      </c>
      <c r="D4" s="1" t="str">
        <f t="shared" si="0"/>
        <v>Pass</v>
      </c>
    </row>
    <row r="5" spans="1:4" x14ac:dyDescent="0.3">
      <c r="A5" s="1">
        <v>4</v>
      </c>
      <c r="B5" s="1" t="s">
        <v>7</v>
      </c>
      <c r="C5" s="1">
        <v>40</v>
      </c>
      <c r="D5" s="1" t="str">
        <f t="shared" si="0"/>
        <v>Pass</v>
      </c>
    </row>
    <row r="6" spans="1:4" x14ac:dyDescent="0.3">
      <c r="A6" s="1">
        <v>5</v>
      </c>
      <c r="B6" s="1" t="s">
        <v>8</v>
      </c>
      <c r="C6" s="1">
        <v>28</v>
      </c>
      <c r="D6" s="1" t="str">
        <f t="shared" si="0"/>
        <v>Fail</v>
      </c>
    </row>
    <row r="7" spans="1:4" x14ac:dyDescent="0.3">
      <c r="A7" s="1">
        <v>6</v>
      </c>
      <c r="B7" s="1" t="s">
        <v>9</v>
      </c>
      <c r="C7" s="1">
        <v>69</v>
      </c>
      <c r="D7" s="1" t="str">
        <f t="shared" si="0"/>
        <v>Pass</v>
      </c>
    </row>
    <row r="8" spans="1:4" x14ac:dyDescent="0.3">
      <c r="A8" s="1">
        <v>7</v>
      </c>
      <c r="B8" s="1" t="s">
        <v>10</v>
      </c>
      <c r="C8" s="1">
        <v>88</v>
      </c>
      <c r="D8" s="1" t="str">
        <f t="shared" si="0"/>
        <v>Pass</v>
      </c>
    </row>
    <row r="9" spans="1:4" x14ac:dyDescent="0.3">
      <c r="A9" s="1">
        <v>8</v>
      </c>
      <c r="B9" s="1" t="s">
        <v>11</v>
      </c>
      <c r="C9" s="1">
        <v>67</v>
      </c>
      <c r="D9" s="1" t="str">
        <f t="shared" si="0"/>
        <v>Pass</v>
      </c>
    </row>
    <row r="10" spans="1:4" x14ac:dyDescent="0.3">
      <c r="A10" s="1">
        <v>9</v>
      </c>
      <c r="B10" s="1" t="s">
        <v>12</v>
      </c>
      <c r="C10" s="1">
        <v>58</v>
      </c>
      <c r="D10" s="1" t="str">
        <f t="shared" si="0"/>
        <v>Pass</v>
      </c>
    </row>
    <row r="11" spans="1:4" x14ac:dyDescent="0.3">
      <c r="A11" s="1">
        <v>10</v>
      </c>
      <c r="B11" s="1" t="s">
        <v>30</v>
      </c>
      <c r="C11" s="1">
        <v>93</v>
      </c>
      <c r="D11" s="1" t="str">
        <f t="shared" si="0"/>
        <v>Pass</v>
      </c>
    </row>
    <row r="12" spans="1:4" x14ac:dyDescent="0.3">
      <c r="A12" s="1">
        <v>11</v>
      </c>
      <c r="B12" s="1" t="s">
        <v>13</v>
      </c>
      <c r="C12" s="1">
        <v>76</v>
      </c>
      <c r="D12" s="1" t="str">
        <f t="shared" si="0"/>
        <v>Pass</v>
      </c>
    </row>
    <row r="13" spans="1:4" x14ac:dyDescent="0.3">
      <c r="A13" s="1">
        <v>12</v>
      </c>
      <c r="B13" s="1" t="s">
        <v>14</v>
      </c>
      <c r="C13" s="1">
        <v>71</v>
      </c>
      <c r="D13" s="1" t="str">
        <f t="shared" si="0"/>
        <v>Pass</v>
      </c>
    </row>
    <row r="14" spans="1:4" x14ac:dyDescent="0.3">
      <c r="A14" s="1">
        <v>13</v>
      </c>
      <c r="B14" s="1" t="s">
        <v>15</v>
      </c>
      <c r="C14" s="1">
        <v>22</v>
      </c>
      <c r="D14" s="1" t="str">
        <f t="shared" si="0"/>
        <v>Fail</v>
      </c>
    </row>
    <row r="15" spans="1:4" x14ac:dyDescent="0.3">
      <c r="A15" s="1">
        <v>14</v>
      </c>
      <c r="B15" s="1" t="s">
        <v>16</v>
      </c>
      <c r="C15" s="1">
        <v>66</v>
      </c>
      <c r="D15" s="1" t="str">
        <f t="shared" si="0"/>
        <v>Pass</v>
      </c>
    </row>
    <row r="16" spans="1:4" x14ac:dyDescent="0.3">
      <c r="A16" s="1">
        <v>15</v>
      </c>
      <c r="B16" s="1" t="s">
        <v>17</v>
      </c>
      <c r="C16" s="1">
        <v>84</v>
      </c>
      <c r="D16" s="1" t="str">
        <f t="shared" si="0"/>
        <v>Pass</v>
      </c>
    </row>
    <row r="17" spans="1:4" x14ac:dyDescent="0.3">
      <c r="A17" s="1">
        <v>16</v>
      </c>
      <c r="B17" s="1" t="s">
        <v>18</v>
      </c>
      <c r="C17" s="1">
        <v>40</v>
      </c>
      <c r="D17" s="1" t="str">
        <f t="shared" si="0"/>
        <v>Pass</v>
      </c>
    </row>
    <row r="18" spans="1:4" x14ac:dyDescent="0.3">
      <c r="A18" s="1">
        <v>17</v>
      </c>
      <c r="B18" s="1" t="s">
        <v>19</v>
      </c>
      <c r="C18" s="1">
        <v>56</v>
      </c>
      <c r="D18" s="1" t="str">
        <f t="shared" si="0"/>
        <v>Pass</v>
      </c>
    </row>
    <row r="19" spans="1:4" x14ac:dyDescent="0.3">
      <c r="A19" s="1">
        <v>18</v>
      </c>
      <c r="B19" s="1" t="s">
        <v>20</v>
      </c>
      <c r="C19" s="1">
        <v>78</v>
      </c>
      <c r="D19" s="1" t="str">
        <f t="shared" si="0"/>
        <v>Pass</v>
      </c>
    </row>
    <row r="20" spans="1:4" x14ac:dyDescent="0.3">
      <c r="A20" s="1">
        <v>19</v>
      </c>
      <c r="B20" s="1" t="s">
        <v>21</v>
      </c>
      <c r="C20" s="1">
        <v>68</v>
      </c>
      <c r="D20" s="1" t="str">
        <f t="shared" si="0"/>
        <v>Pass</v>
      </c>
    </row>
    <row r="21" spans="1:4" x14ac:dyDescent="0.3">
      <c r="A21" s="1">
        <v>20</v>
      </c>
      <c r="B21" s="1" t="s">
        <v>22</v>
      </c>
      <c r="C21" s="1">
        <v>44</v>
      </c>
      <c r="D21" s="1" t="str">
        <f t="shared" si="0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1974-65F3-4EF4-AA9E-DEA37BBE4C3D}">
  <dimension ref="A1:C20"/>
  <sheetViews>
    <sheetView workbookViewId="0">
      <selection activeCell="G15" sqref="G15"/>
    </sheetView>
  </sheetViews>
  <sheetFormatPr defaultRowHeight="14.4" x14ac:dyDescent="0.3"/>
  <cols>
    <col min="1" max="1" width="14.44140625" bestFit="1" customWidth="1"/>
    <col min="2" max="2" width="10.6640625" customWidth="1"/>
    <col min="3" max="3" width="11.88671875" bestFit="1" customWidth="1"/>
  </cols>
  <sheetData>
    <row r="1" spans="1:3" ht="15.6" x14ac:dyDescent="0.3">
      <c r="A1" s="4" t="s">
        <v>23</v>
      </c>
      <c r="B1" s="4" t="s">
        <v>24</v>
      </c>
      <c r="C1" s="4" t="s">
        <v>25</v>
      </c>
    </row>
    <row r="2" spans="1:3" x14ac:dyDescent="0.3">
      <c r="A2" s="1" t="s">
        <v>26</v>
      </c>
      <c r="B2" s="3">
        <v>28000</v>
      </c>
      <c r="C2" s="1" t="str">
        <f>IF(B2&gt;=40000,"Bonus","No Bonus")</f>
        <v>No Bonus</v>
      </c>
    </row>
    <row r="3" spans="1:3" x14ac:dyDescent="0.3">
      <c r="A3" s="1" t="s">
        <v>27</v>
      </c>
      <c r="B3" s="3">
        <v>45000</v>
      </c>
      <c r="C3" s="1" t="str">
        <f t="shared" ref="C3:C20" si="0">IF(B3&gt;=40000,"Bonus","No Bonus")</f>
        <v>Bonus</v>
      </c>
    </row>
    <row r="4" spans="1:3" x14ac:dyDescent="0.3">
      <c r="A4" s="1" t="s">
        <v>28</v>
      </c>
      <c r="B4" s="3">
        <v>52000</v>
      </c>
      <c r="C4" s="1" t="str">
        <f t="shared" si="0"/>
        <v>Bonus</v>
      </c>
    </row>
    <row r="5" spans="1:3" x14ac:dyDescent="0.3">
      <c r="A5" s="1" t="s">
        <v>29</v>
      </c>
      <c r="B5" s="3">
        <v>30000</v>
      </c>
      <c r="C5" s="1" t="str">
        <f t="shared" si="0"/>
        <v>No Bonus</v>
      </c>
    </row>
    <row r="6" spans="1:3" x14ac:dyDescent="0.3">
      <c r="A6" s="1" t="s">
        <v>4</v>
      </c>
      <c r="B6" s="3">
        <v>44000</v>
      </c>
      <c r="C6" s="1" t="str">
        <f t="shared" si="0"/>
        <v>Bonus</v>
      </c>
    </row>
    <row r="7" spans="1:3" x14ac:dyDescent="0.3">
      <c r="A7" s="1" t="s">
        <v>5</v>
      </c>
      <c r="B7" s="3">
        <v>19000</v>
      </c>
      <c r="C7" s="1" t="str">
        <f t="shared" si="0"/>
        <v>No Bonus</v>
      </c>
    </row>
    <row r="8" spans="1:3" x14ac:dyDescent="0.3">
      <c r="A8" s="1" t="s">
        <v>6</v>
      </c>
      <c r="B8" s="3">
        <v>20000</v>
      </c>
      <c r="C8" s="1" t="str">
        <f t="shared" si="0"/>
        <v>No Bonus</v>
      </c>
    </row>
    <row r="9" spans="1:3" x14ac:dyDescent="0.3">
      <c r="A9" s="1" t="s">
        <v>7</v>
      </c>
      <c r="B9" s="3">
        <v>33000</v>
      </c>
      <c r="C9" s="1" t="str">
        <f t="shared" si="0"/>
        <v>No Bonus</v>
      </c>
    </row>
    <row r="10" spans="1:3" x14ac:dyDescent="0.3">
      <c r="A10" s="1" t="s">
        <v>8</v>
      </c>
      <c r="B10" s="3">
        <v>55000</v>
      </c>
      <c r="C10" s="1" t="str">
        <f t="shared" si="0"/>
        <v>Bonus</v>
      </c>
    </row>
    <row r="11" spans="1:3" x14ac:dyDescent="0.3">
      <c r="A11" s="1" t="s">
        <v>9</v>
      </c>
      <c r="B11" s="3">
        <v>30000</v>
      </c>
      <c r="C11" s="1" t="str">
        <f t="shared" si="0"/>
        <v>No Bonus</v>
      </c>
    </row>
    <row r="12" spans="1:3" x14ac:dyDescent="0.3">
      <c r="A12" s="1" t="s">
        <v>10</v>
      </c>
      <c r="B12" s="3">
        <v>40000</v>
      </c>
      <c r="C12" s="1" t="str">
        <f t="shared" si="0"/>
        <v>Bonus</v>
      </c>
    </row>
    <row r="13" spans="1:3" x14ac:dyDescent="0.3">
      <c r="A13" s="1" t="s">
        <v>11</v>
      </c>
      <c r="B13" s="3">
        <v>36000</v>
      </c>
      <c r="C13" s="1" t="str">
        <f t="shared" si="0"/>
        <v>No Bonus</v>
      </c>
    </row>
    <row r="14" spans="1:3" x14ac:dyDescent="0.3">
      <c r="A14" s="1" t="s">
        <v>12</v>
      </c>
      <c r="B14" s="3">
        <v>45000</v>
      </c>
      <c r="C14" s="1" t="str">
        <f t="shared" si="0"/>
        <v>Bonus</v>
      </c>
    </row>
    <row r="15" spans="1:3" x14ac:dyDescent="0.3">
      <c r="A15" s="1" t="s">
        <v>30</v>
      </c>
      <c r="B15" s="3">
        <v>22000</v>
      </c>
      <c r="C15" s="1" t="str">
        <f t="shared" si="0"/>
        <v>No Bonus</v>
      </c>
    </row>
    <row r="16" spans="1:3" x14ac:dyDescent="0.3">
      <c r="A16" s="1" t="s">
        <v>13</v>
      </c>
      <c r="B16" s="3">
        <v>41000</v>
      </c>
      <c r="C16" s="1" t="str">
        <f t="shared" si="0"/>
        <v>Bonus</v>
      </c>
    </row>
    <row r="17" spans="1:3" x14ac:dyDescent="0.3">
      <c r="A17" s="1" t="s">
        <v>14</v>
      </c>
      <c r="B17" s="3">
        <v>44000</v>
      </c>
      <c r="C17" s="1" t="str">
        <f t="shared" si="0"/>
        <v>Bonus</v>
      </c>
    </row>
    <row r="18" spans="1:3" x14ac:dyDescent="0.3">
      <c r="A18" s="1" t="s">
        <v>15</v>
      </c>
      <c r="B18" s="3">
        <v>33000</v>
      </c>
      <c r="C18" s="1" t="str">
        <f t="shared" si="0"/>
        <v>No Bonus</v>
      </c>
    </row>
    <row r="19" spans="1:3" x14ac:dyDescent="0.3">
      <c r="A19" s="1" t="s">
        <v>16</v>
      </c>
      <c r="B19" s="3">
        <v>55000</v>
      </c>
      <c r="C19" s="1" t="str">
        <f t="shared" si="0"/>
        <v>Bonus</v>
      </c>
    </row>
    <row r="20" spans="1:3" x14ac:dyDescent="0.3">
      <c r="A20" s="1" t="s">
        <v>17</v>
      </c>
      <c r="B20" s="3">
        <v>56000</v>
      </c>
      <c r="C20" s="1" t="str">
        <f t="shared" si="0"/>
        <v>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4165-6F0C-4C2C-B20B-C4BE8E248D05}">
  <dimension ref="A1:C21"/>
  <sheetViews>
    <sheetView workbookViewId="0">
      <selection activeCell="A6" sqref="A6:B21"/>
    </sheetView>
  </sheetViews>
  <sheetFormatPr defaultRowHeight="14.4" x14ac:dyDescent="0.3"/>
  <cols>
    <col min="1" max="1" width="12.44140625" bestFit="1" customWidth="1"/>
    <col min="2" max="2" width="5.77734375" bestFit="1" customWidth="1"/>
    <col min="3" max="3" width="5.88671875" bestFit="1" customWidth="1"/>
  </cols>
  <sheetData>
    <row r="1" spans="1:3" ht="15.6" x14ac:dyDescent="0.3">
      <c r="A1" s="5" t="s">
        <v>1</v>
      </c>
      <c r="B1" s="5" t="s">
        <v>2</v>
      </c>
      <c r="C1" s="5" t="s">
        <v>31</v>
      </c>
    </row>
    <row r="2" spans="1:3" x14ac:dyDescent="0.3">
      <c r="A2" s="1" t="s">
        <v>4</v>
      </c>
      <c r="B2" s="1">
        <v>82</v>
      </c>
      <c r="C2" s="1" t="str" cm="1">
        <f t="array" ref="C2">_xlfn.IFS(B2&gt;=75,"A",B2&gt;=60,"B",B2&gt;=40,"C",B2&lt;40,"Fail")</f>
        <v>A</v>
      </c>
    </row>
    <row r="3" spans="1:3" x14ac:dyDescent="0.3">
      <c r="A3" s="1" t="s">
        <v>5</v>
      </c>
      <c r="B3" s="1">
        <v>67</v>
      </c>
      <c r="C3" s="1" t="str" cm="1">
        <f t="array" ref="C3">_xlfn.IFS(B3&gt;=75,"A",B3&gt;=60,"B",B3&gt;=40,"C",B3&lt;40,"Fail")</f>
        <v>B</v>
      </c>
    </row>
    <row r="4" spans="1:3" x14ac:dyDescent="0.3">
      <c r="A4" s="1" t="s">
        <v>6</v>
      </c>
      <c r="B4" s="1">
        <v>45</v>
      </c>
      <c r="C4" s="1" t="str" cm="1">
        <f t="array" ref="C4">_xlfn.IFS(B4&gt;=75,"A",B4&gt;=60,"B",B4&gt;=40,"C",B4&lt;40,"Fail")</f>
        <v>C</v>
      </c>
    </row>
    <row r="5" spans="1:3" x14ac:dyDescent="0.3">
      <c r="A5" s="1" t="s">
        <v>7</v>
      </c>
      <c r="B5" s="1">
        <v>33</v>
      </c>
      <c r="C5" s="1" t="str" cm="1">
        <f t="array" ref="C5">_xlfn.IFS(B5&gt;=75,"A",B5&gt;=60,"B",B5&gt;=40,"C",B5&lt;40,"Fail")</f>
        <v>Fail</v>
      </c>
    </row>
    <row r="6" spans="1:3" x14ac:dyDescent="0.3">
      <c r="A6" s="1" t="s">
        <v>8</v>
      </c>
      <c r="B6" s="1">
        <v>90</v>
      </c>
      <c r="C6" s="1" t="str" cm="1">
        <f t="array" ref="C6">_xlfn.IFS(B6&gt;=75,"A",B6&gt;=60,"B",B6&gt;=40,"C",B6&lt;40,"Fail")</f>
        <v>A</v>
      </c>
    </row>
    <row r="7" spans="1:3" x14ac:dyDescent="0.3">
      <c r="A7" s="1" t="s">
        <v>9</v>
      </c>
      <c r="B7" s="1">
        <v>69</v>
      </c>
      <c r="C7" s="1" t="str" cm="1">
        <f t="array" ref="C7">_xlfn.IFS(B7&gt;=75,"A",B7&gt;=60,"B",B7&gt;=40,"C",B7&lt;40,"Fail")</f>
        <v>B</v>
      </c>
    </row>
    <row r="8" spans="1:3" x14ac:dyDescent="0.3">
      <c r="A8" s="1" t="s">
        <v>10</v>
      </c>
      <c r="B8" s="1">
        <v>88</v>
      </c>
      <c r="C8" s="1" t="str" cm="1">
        <f t="array" ref="C8">_xlfn.IFS(B8&gt;=75,"A",B8&gt;=60,"B",B8&gt;=40,"C",B8&lt;40,"Fail")</f>
        <v>A</v>
      </c>
    </row>
    <row r="9" spans="1:3" x14ac:dyDescent="0.3">
      <c r="A9" s="1" t="s">
        <v>11</v>
      </c>
      <c r="B9" s="1">
        <v>67</v>
      </c>
      <c r="C9" s="1" t="str" cm="1">
        <f t="array" ref="C9">_xlfn.IFS(B9&gt;=75,"A",B9&gt;=60,"B",B9&gt;=40,"C",B9&lt;40,"Fail")</f>
        <v>B</v>
      </c>
    </row>
    <row r="10" spans="1:3" x14ac:dyDescent="0.3">
      <c r="A10" s="1" t="s">
        <v>12</v>
      </c>
      <c r="B10" s="1">
        <v>58</v>
      </c>
      <c r="C10" s="1" t="str" cm="1">
        <f t="array" ref="C10">_xlfn.IFS(B10&gt;=75,"A",B10&gt;=60,"B",B10&gt;=40,"C",B10&lt;40,"Fail")</f>
        <v>C</v>
      </c>
    </row>
    <row r="11" spans="1:3" x14ac:dyDescent="0.3">
      <c r="A11" s="1" t="s">
        <v>30</v>
      </c>
      <c r="B11" s="1">
        <v>93</v>
      </c>
      <c r="C11" s="1" t="str" cm="1">
        <f t="array" ref="C11">_xlfn.IFS(B11&gt;=75,"A",B11&gt;=60,"B",B11&gt;=40,"C",B11&lt;40,"Fail")</f>
        <v>A</v>
      </c>
    </row>
    <row r="12" spans="1:3" x14ac:dyDescent="0.3">
      <c r="A12" s="1" t="s">
        <v>13</v>
      </c>
      <c r="B12" s="1">
        <v>76</v>
      </c>
      <c r="C12" s="1" t="str" cm="1">
        <f t="array" ref="C12">_xlfn.IFS(B12&gt;=75,"A",B12&gt;=60,"B",B12&gt;=40,"C",B12&lt;40,"Fail")</f>
        <v>A</v>
      </c>
    </row>
    <row r="13" spans="1:3" x14ac:dyDescent="0.3">
      <c r="A13" s="1" t="s">
        <v>14</v>
      </c>
      <c r="B13" s="1">
        <v>71</v>
      </c>
      <c r="C13" s="1" t="str" cm="1">
        <f t="array" ref="C13">_xlfn.IFS(B13&gt;=75,"A",B13&gt;=60,"B",B13&gt;=40,"C",B13&lt;40,"Fail")</f>
        <v>B</v>
      </c>
    </row>
    <row r="14" spans="1:3" x14ac:dyDescent="0.3">
      <c r="A14" s="1" t="s">
        <v>15</v>
      </c>
      <c r="B14" s="1">
        <v>22</v>
      </c>
      <c r="C14" s="1" t="str" cm="1">
        <f t="array" ref="C14">_xlfn.IFS(B14&gt;=75,"A",B14&gt;=60,"B",B14&gt;=40,"C",B14&lt;40,"Fail")</f>
        <v>Fail</v>
      </c>
    </row>
    <row r="15" spans="1:3" x14ac:dyDescent="0.3">
      <c r="A15" s="1" t="s">
        <v>16</v>
      </c>
      <c r="B15" s="1">
        <v>66</v>
      </c>
      <c r="C15" s="1" t="str" cm="1">
        <f t="array" ref="C15">_xlfn.IFS(B15&gt;=75,"A",B15&gt;=60,"B",B15&gt;=40,"C",B15&lt;40,"Fail")</f>
        <v>B</v>
      </c>
    </row>
    <row r="16" spans="1:3" x14ac:dyDescent="0.3">
      <c r="A16" s="1" t="s">
        <v>17</v>
      </c>
      <c r="B16" s="1">
        <v>84</v>
      </c>
      <c r="C16" s="1" t="str" cm="1">
        <f t="array" ref="C16">_xlfn.IFS(B16&gt;=75,"A",B16&gt;=60,"B",B16&gt;=40,"C",B16&lt;40,"Fail")</f>
        <v>A</v>
      </c>
    </row>
    <row r="17" spans="1:3" x14ac:dyDescent="0.3">
      <c r="A17" s="1" t="s">
        <v>18</v>
      </c>
      <c r="B17" s="1">
        <v>40</v>
      </c>
      <c r="C17" s="1" t="str" cm="1">
        <f t="array" ref="C17">_xlfn.IFS(B17&gt;=75,"A",B17&gt;=60,"B",B17&gt;=40,"C",B17&lt;40,"Fail")</f>
        <v>C</v>
      </c>
    </row>
    <row r="18" spans="1:3" x14ac:dyDescent="0.3">
      <c r="A18" s="1" t="s">
        <v>19</v>
      </c>
      <c r="B18" s="1">
        <v>56</v>
      </c>
      <c r="C18" s="1" t="str" cm="1">
        <f t="array" ref="C18">_xlfn.IFS(B18&gt;=75,"A",B18&gt;=60,"B",B18&gt;=40,"C",B18&lt;40,"Fail")</f>
        <v>C</v>
      </c>
    </row>
    <row r="19" spans="1:3" x14ac:dyDescent="0.3">
      <c r="A19" s="1" t="s">
        <v>20</v>
      </c>
      <c r="B19" s="1">
        <v>78</v>
      </c>
      <c r="C19" s="1" t="str" cm="1">
        <f t="array" ref="C19">_xlfn.IFS(B19&gt;=75,"A",B19&gt;=60,"B",B19&gt;=40,"C",B19&lt;40,"Fail")</f>
        <v>A</v>
      </c>
    </row>
    <row r="20" spans="1:3" x14ac:dyDescent="0.3">
      <c r="A20" s="1" t="s">
        <v>21</v>
      </c>
      <c r="B20" s="1">
        <v>68</v>
      </c>
      <c r="C20" s="1" t="str" cm="1">
        <f t="array" ref="C20">_xlfn.IFS(B20&gt;=75,"A",B20&gt;=60,"B",B20&gt;=40,"C",B20&lt;40,"Fail")</f>
        <v>B</v>
      </c>
    </row>
    <row r="21" spans="1:3" x14ac:dyDescent="0.3">
      <c r="A21" s="1" t="s">
        <v>22</v>
      </c>
      <c r="B21" s="1">
        <v>44</v>
      </c>
      <c r="C21" s="1" t="str" cm="1">
        <f t="array" ref="C21">_xlfn.IFS(B21&gt;=75,"A",B21&gt;=60,"B",B21&gt;=40,"C",B21&lt;40,"Fail")</f>
        <v>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1A59-859E-487E-833C-09B0E977EBEB}">
  <dimension ref="A1:D21"/>
  <sheetViews>
    <sheetView workbookViewId="0">
      <selection activeCell="F15" sqref="F15"/>
    </sheetView>
  </sheetViews>
  <sheetFormatPr defaultRowHeight="14.4" x14ac:dyDescent="0.3"/>
  <cols>
    <col min="1" max="1" width="8.21875" bestFit="1" customWidth="1"/>
    <col min="2" max="2" width="4.21875" bestFit="1" customWidth="1"/>
    <col min="3" max="3" width="15.77734375" bestFit="1" customWidth="1"/>
    <col min="4" max="4" width="9.88671875" bestFit="1" customWidth="1"/>
  </cols>
  <sheetData>
    <row r="1" spans="1:4" ht="15.6" x14ac:dyDescent="0.3">
      <c r="A1" s="6" t="s">
        <v>32</v>
      </c>
      <c r="B1" s="6" t="s">
        <v>33</v>
      </c>
      <c r="C1" s="6" t="s">
        <v>34</v>
      </c>
      <c r="D1" s="6" t="s">
        <v>35</v>
      </c>
    </row>
    <row r="2" spans="1:4" x14ac:dyDescent="0.3">
      <c r="A2" s="1" t="s">
        <v>26</v>
      </c>
      <c r="B2" s="1">
        <v>25</v>
      </c>
      <c r="C2" s="1">
        <v>2</v>
      </c>
      <c r="D2" s="1" t="str">
        <f>IF(AND(B2&gt;=21,C2&gt;=1),"Eligibile","Not Eligible")</f>
        <v>Eligibile</v>
      </c>
    </row>
    <row r="3" spans="1:4" x14ac:dyDescent="0.3">
      <c r="A3" s="1" t="s">
        <v>27</v>
      </c>
      <c r="B3" s="1">
        <v>20</v>
      </c>
      <c r="C3" s="1">
        <v>1</v>
      </c>
      <c r="D3" s="1" t="str">
        <f t="shared" ref="D3:D21" si="0">IF(AND(B3&gt;=21,C3&gt;=1),"Eligibile","Not Eligible")</f>
        <v>Not Eligible</v>
      </c>
    </row>
    <row r="4" spans="1:4" x14ac:dyDescent="0.3">
      <c r="A4" s="1" t="s">
        <v>28</v>
      </c>
      <c r="B4" s="1">
        <v>30</v>
      </c>
      <c r="C4" s="1">
        <v>5</v>
      </c>
      <c r="D4" s="1" t="str">
        <f t="shared" si="0"/>
        <v>Eligibile</v>
      </c>
    </row>
    <row r="5" spans="1:4" x14ac:dyDescent="0.3">
      <c r="A5" s="1" t="s">
        <v>29</v>
      </c>
      <c r="B5" s="1">
        <v>22</v>
      </c>
      <c r="C5" s="1">
        <v>0</v>
      </c>
      <c r="D5" s="1" t="str">
        <f t="shared" si="0"/>
        <v>Not Eligible</v>
      </c>
    </row>
    <row r="6" spans="1:4" x14ac:dyDescent="0.3">
      <c r="A6" s="1" t="s">
        <v>36</v>
      </c>
      <c r="B6" s="1">
        <v>30</v>
      </c>
      <c r="C6" s="1">
        <v>8</v>
      </c>
      <c r="D6" s="1" t="str">
        <f t="shared" si="0"/>
        <v>Eligibile</v>
      </c>
    </row>
    <row r="7" spans="1:4" x14ac:dyDescent="0.3">
      <c r="A7" s="1" t="s">
        <v>37</v>
      </c>
      <c r="B7" s="1">
        <v>27</v>
      </c>
      <c r="C7" s="1">
        <v>7</v>
      </c>
      <c r="D7" s="1" t="str">
        <f t="shared" si="0"/>
        <v>Eligibile</v>
      </c>
    </row>
    <row r="8" spans="1:4" x14ac:dyDescent="0.3">
      <c r="A8" s="1" t="s">
        <v>38</v>
      </c>
      <c r="B8" s="1">
        <v>25</v>
      </c>
      <c r="C8" s="1">
        <v>6</v>
      </c>
      <c r="D8" s="1" t="str">
        <f t="shared" si="0"/>
        <v>Eligibile</v>
      </c>
    </row>
    <row r="9" spans="1:4" x14ac:dyDescent="0.3">
      <c r="A9" s="1" t="s">
        <v>16</v>
      </c>
      <c r="B9" s="1">
        <v>27</v>
      </c>
      <c r="C9" s="1">
        <v>5</v>
      </c>
      <c r="D9" s="1" t="str">
        <f t="shared" si="0"/>
        <v>Eligibile</v>
      </c>
    </row>
    <row r="10" spans="1:4" x14ac:dyDescent="0.3">
      <c r="A10" s="1" t="s">
        <v>39</v>
      </c>
      <c r="B10" s="1">
        <v>33</v>
      </c>
      <c r="C10" s="1">
        <v>5</v>
      </c>
      <c r="D10" s="1" t="str">
        <f t="shared" si="0"/>
        <v>Eligibile</v>
      </c>
    </row>
    <row r="11" spans="1:4" x14ac:dyDescent="0.3">
      <c r="A11" s="1" t="s">
        <v>40</v>
      </c>
      <c r="B11" s="1">
        <v>38</v>
      </c>
      <c r="C11" s="1">
        <v>15</v>
      </c>
      <c r="D11" s="1" t="str">
        <f t="shared" si="0"/>
        <v>Eligibile</v>
      </c>
    </row>
    <row r="12" spans="1:4" x14ac:dyDescent="0.3">
      <c r="A12" s="1" t="s">
        <v>19</v>
      </c>
      <c r="B12" s="1">
        <v>39</v>
      </c>
      <c r="C12" s="1">
        <v>18</v>
      </c>
      <c r="D12" s="1" t="str">
        <f t="shared" si="0"/>
        <v>Eligibile</v>
      </c>
    </row>
    <row r="13" spans="1:4" x14ac:dyDescent="0.3">
      <c r="A13" s="1" t="s">
        <v>41</v>
      </c>
      <c r="B13" s="1">
        <v>29</v>
      </c>
      <c r="C13" s="1">
        <v>12</v>
      </c>
      <c r="D13" s="1" t="str">
        <f t="shared" si="0"/>
        <v>Eligibile</v>
      </c>
    </row>
    <row r="14" spans="1:4" x14ac:dyDescent="0.3">
      <c r="A14" s="1" t="s">
        <v>42</v>
      </c>
      <c r="B14" s="1">
        <v>19</v>
      </c>
      <c r="C14" s="1">
        <v>0</v>
      </c>
      <c r="D14" s="1" t="str">
        <f t="shared" si="0"/>
        <v>Not Eligible</v>
      </c>
    </row>
    <row r="15" spans="1:4" x14ac:dyDescent="0.3">
      <c r="A15" s="1" t="s">
        <v>43</v>
      </c>
      <c r="B15" s="1">
        <v>22</v>
      </c>
      <c r="C15" s="1">
        <v>1</v>
      </c>
      <c r="D15" s="1" t="str">
        <f t="shared" si="0"/>
        <v>Eligibile</v>
      </c>
    </row>
    <row r="16" spans="1:4" x14ac:dyDescent="0.3">
      <c r="A16" s="1" t="s">
        <v>44</v>
      </c>
      <c r="B16" s="1">
        <v>23</v>
      </c>
      <c r="C16" s="1">
        <v>3</v>
      </c>
      <c r="D16" s="1" t="str">
        <f t="shared" si="0"/>
        <v>Eligibile</v>
      </c>
    </row>
    <row r="17" spans="1:4" x14ac:dyDescent="0.3">
      <c r="A17" s="1" t="s">
        <v>45</v>
      </c>
      <c r="B17" s="1">
        <v>28</v>
      </c>
      <c r="C17" s="1">
        <v>9</v>
      </c>
      <c r="D17" s="1" t="str">
        <f t="shared" si="0"/>
        <v>Eligibile</v>
      </c>
    </row>
    <row r="18" spans="1:4" x14ac:dyDescent="0.3">
      <c r="A18" s="1" t="s">
        <v>46</v>
      </c>
      <c r="B18" s="1">
        <v>29</v>
      </c>
      <c r="C18" s="1">
        <v>11</v>
      </c>
      <c r="D18" s="1" t="str">
        <f t="shared" si="0"/>
        <v>Eligibile</v>
      </c>
    </row>
    <row r="19" spans="1:4" x14ac:dyDescent="0.3">
      <c r="A19" s="1" t="s">
        <v>20</v>
      </c>
      <c r="B19" s="1">
        <v>20</v>
      </c>
      <c r="C19" s="1">
        <v>0</v>
      </c>
      <c r="D19" s="1" t="str">
        <f t="shared" si="0"/>
        <v>Not Eligible</v>
      </c>
    </row>
    <row r="20" spans="1:4" x14ac:dyDescent="0.3">
      <c r="A20" s="1" t="s">
        <v>47</v>
      </c>
      <c r="B20" s="1">
        <v>27</v>
      </c>
      <c r="C20" s="1">
        <v>10</v>
      </c>
      <c r="D20" s="1" t="str">
        <f t="shared" si="0"/>
        <v>Eligibile</v>
      </c>
    </row>
    <row r="21" spans="1:4" x14ac:dyDescent="0.3">
      <c r="A21" s="1" t="s">
        <v>48</v>
      </c>
      <c r="B21" s="1">
        <v>22</v>
      </c>
      <c r="C21" s="1">
        <v>0</v>
      </c>
      <c r="D21" s="1" t="str">
        <f t="shared" si="0"/>
        <v>Not Eligible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54E3-B085-4659-9EA6-E0FF47DA1FD7}">
  <dimension ref="A1:D21"/>
  <sheetViews>
    <sheetView workbookViewId="0">
      <selection activeCell="D24" sqref="D24"/>
    </sheetView>
  </sheetViews>
  <sheetFormatPr defaultRowHeight="14.4" x14ac:dyDescent="0.3"/>
  <cols>
    <col min="1" max="1" width="12.44140625" bestFit="1" customWidth="1"/>
    <col min="2" max="2" width="12.109375" bestFit="1" customWidth="1"/>
    <col min="3" max="3" width="19.44140625" bestFit="1" customWidth="1"/>
    <col min="4" max="4" width="9.88671875" bestFit="1" customWidth="1"/>
  </cols>
  <sheetData>
    <row r="1" spans="1:4" ht="15.6" x14ac:dyDescent="0.3">
      <c r="A1" s="7" t="s">
        <v>1</v>
      </c>
      <c r="B1" s="7" t="s">
        <v>49</v>
      </c>
      <c r="C1" s="7" t="s">
        <v>50</v>
      </c>
      <c r="D1" s="7" t="s">
        <v>53</v>
      </c>
    </row>
    <row r="2" spans="1:4" x14ac:dyDescent="0.3">
      <c r="A2" s="1" t="s">
        <v>4</v>
      </c>
      <c r="B2" s="1">
        <v>85</v>
      </c>
      <c r="C2" s="1" t="s">
        <v>51</v>
      </c>
      <c r="D2" s="1" t="str">
        <f>IF(AND(B2&gt;=75,C2="Yes"),"Eligible","Not Eligible")</f>
        <v>Eligible</v>
      </c>
    </row>
    <row r="3" spans="1:4" x14ac:dyDescent="0.3">
      <c r="A3" s="1" t="s">
        <v>5</v>
      </c>
      <c r="B3" s="1">
        <v>72</v>
      </c>
      <c r="C3" s="1" t="s">
        <v>51</v>
      </c>
      <c r="D3" s="1" t="str">
        <f t="shared" ref="D3:D21" si="0">IF(AND(B3&gt;=75,C3="Yes"),"Eligible","Not Eligible")</f>
        <v>Not Eligible</v>
      </c>
    </row>
    <row r="4" spans="1:4" x14ac:dyDescent="0.3">
      <c r="A4" s="1" t="s">
        <v>6</v>
      </c>
      <c r="B4" s="1">
        <v>90</v>
      </c>
      <c r="C4" s="1" t="s">
        <v>52</v>
      </c>
      <c r="D4" s="1" t="str">
        <f t="shared" si="0"/>
        <v>Not Eligible</v>
      </c>
    </row>
    <row r="5" spans="1:4" x14ac:dyDescent="0.3">
      <c r="A5" s="1" t="s">
        <v>7</v>
      </c>
      <c r="B5" s="1">
        <v>80</v>
      </c>
      <c r="C5" s="1" t="s">
        <v>51</v>
      </c>
      <c r="D5" s="1" t="str">
        <f t="shared" si="0"/>
        <v>Eligible</v>
      </c>
    </row>
    <row r="6" spans="1:4" x14ac:dyDescent="0.3">
      <c r="A6" s="1" t="s">
        <v>8</v>
      </c>
      <c r="B6" s="1">
        <v>90</v>
      </c>
      <c r="C6" s="1" t="s">
        <v>52</v>
      </c>
      <c r="D6" s="1" t="str">
        <f t="shared" si="0"/>
        <v>Not Eligible</v>
      </c>
    </row>
    <row r="7" spans="1:4" x14ac:dyDescent="0.3">
      <c r="A7" s="1" t="s">
        <v>9</v>
      </c>
      <c r="B7" s="1">
        <v>69</v>
      </c>
      <c r="C7" s="1" t="s">
        <v>51</v>
      </c>
      <c r="D7" s="1" t="str">
        <f t="shared" si="0"/>
        <v>Not Eligible</v>
      </c>
    </row>
    <row r="8" spans="1:4" x14ac:dyDescent="0.3">
      <c r="A8" s="1" t="s">
        <v>10</v>
      </c>
      <c r="B8" s="1">
        <v>88</v>
      </c>
      <c r="C8" s="1" t="s">
        <v>51</v>
      </c>
      <c r="D8" s="1" t="str">
        <f t="shared" si="0"/>
        <v>Eligible</v>
      </c>
    </row>
    <row r="9" spans="1:4" x14ac:dyDescent="0.3">
      <c r="A9" s="1" t="s">
        <v>11</v>
      </c>
      <c r="B9" s="1">
        <v>67</v>
      </c>
      <c r="C9" s="1" t="s">
        <v>52</v>
      </c>
      <c r="D9" s="1" t="str">
        <f t="shared" si="0"/>
        <v>Not Eligible</v>
      </c>
    </row>
    <row r="10" spans="1:4" x14ac:dyDescent="0.3">
      <c r="A10" s="1" t="s">
        <v>12</v>
      </c>
      <c r="B10" s="1">
        <v>58</v>
      </c>
      <c r="C10" s="1" t="s">
        <v>51</v>
      </c>
      <c r="D10" s="1" t="str">
        <f t="shared" si="0"/>
        <v>Not Eligible</v>
      </c>
    </row>
    <row r="11" spans="1:4" x14ac:dyDescent="0.3">
      <c r="A11" s="1" t="s">
        <v>30</v>
      </c>
      <c r="B11" s="1">
        <v>93</v>
      </c>
      <c r="C11" s="1" t="s">
        <v>51</v>
      </c>
      <c r="D11" s="1" t="str">
        <f t="shared" si="0"/>
        <v>Eligible</v>
      </c>
    </row>
    <row r="12" spans="1:4" x14ac:dyDescent="0.3">
      <c r="A12" s="1" t="s">
        <v>13</v>
      </c>
      <c r="B12" s="1">
        <v>76</v>
      </c>
      <c r="C12" s="1" t="s">
        <v>52</v>
      </c>
      <c r="D12" s="1" t="str">
        <f t="shared" si="0"/>
        <v>Not Eligible</v>
      </c>
    </row>
    <row r="13" spans="1:4" x14ac:dyDescent="0.3">
      <c r="A13" s="1" t="s">
        <v>14</v>
      </c>
      <c r="B13" s="1">
        <v>71</v>
      </c>
      <c r="C13" s="1" t="s">
        <v>51</v>
      </c>
      <c r="D13" s="1" t="str">
        <f t="shared" si="0"/>
        <v>Not Eligible</v>
      </c>
    </row>
    <row r="14" spans="1:4" x14ac:dyDescent="0.3">
      <c r="A14" s="1" t="s">
        <v>15</v>
      </c>
      <c r="B14" s="1">
        <v>22</v>
      </c>
      <c r="C14" s="1" t="s">
        <v>52</v>
      </c>
      <c r="D14" s="1" t="str">
        <f t="shared" si="0"/>
        <v>Not Eligible</v>
      </c>
    </row>
    <row r="15" spans="1:4" x14ac:dyDescent="0.3">
      <c r="A15" s="1" t="s">
        <v>16</v>
      </c>
      <c r="B15" s="1">
        <v>66</v>
      </c>
      <c r="C15" s="1" t="s">
        <v>52</v>
      </c>
      <c r="D15" s="1" t="str">
        <f t="shared" si="0"/>
        <v>Not Eligible</v>
      </c>
    </row>
    <row r="16" spans="1:4" x14ac:dyDescent="0.3">
      <c r="A16" s="1" t="s">
        <v>17</v>
      </c>
      <c r="B16" s="1">
        <v>84</v>
      </c>
      <c r="C16" s="1" t="s">
        <v>51</v>
      </c>
      <c r="D16" s="1" t="str">
        <f t="shared" si="0"/>
        <v>Eligible</v>
      </c>
    </row>
    <row r="17" spans="1:4" x14ac:dyDescent="0.3">
      <c r="A17" s="1" t="s">
        <v>18</v>
      </c>
      <c r="B17" s="1">
        <v>40</v>
      </c>
      <c r="C17" s="1" t="s">
        <v>51</v>
      </c>
      <c r="D17" s="1" t="str">
        <f t="shared" si="0"/>
        <v>Not Eligible</v>
      </c>
    </row>
    <row r="18" spans="1:4" x14ac:dyDescent="0.3">
      <c r="A18" s="1" t="s">
        <v>19</v>
      </c>
      <c r="B18" s="1">
        <v>56</v>
      </c>
      <c r="C18" s="1" t="s">
        <v>52</v>
      </c>
      <c r="D18" s="1" t="str">
        <f t="shared" si="0"/>
        <v>Not Eligible</v>
      </c>
    </row>
    <row r="19" spans="1:4" x14ac:dyDescent="0.3">
      <c r="A19" s="1" t="s">
        <v>20</v>
      </c>
      <c r="B19" s="1">
        <v>78</v>
      </c>
      <c r="C19" s="1" t="s">
        <v>52</v>
      </c>
      <c r="D19" s="1" t="str">
        <f t="shared" si="0"/>
        <v>Not Eligible</v>
      </c>
    </row>
    <row r="20" spans="1:4" x14ac:dyDescent="0.3">
      <c r="A20" s="1" t="s">
        <v>21</v>
      </c>
      <c r="B20" s="1">
        <v>68</v>
      </c>
      <c r="C20" s="1" t="s">
        <v>51</v>
      </c>
      <c r="D20" s="1" t="str">
        <f t="shared" si="0"/>
        <v>Not Eligible</v>
      </c>
    </row>
    <row r="21" spans="1:4" x14ac:dyDescent="0.3">
      <c r="A21" s="1" t="s">
        <v>22</v>
      </c>
      <c r="B21" s="1">
        <v>44</v>
      </c>
      <c r="C21" s="1" t="s">
        <v>52</v>
      </c>
      <c r="D21" s="1" t="str">
        <f t="shared" si="0"/>
        <v>Not 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0E64-7641-40D3-95D2-F06E6599A580}">
  <dimension ref="A1:D21"/>
  <sheetViews>
    <sheetView workbookViewId="0">
      <selection activeCell="D22" sqref="D22"/>
    </sheetView>
  </sheetViews>
  <sheetFormatPr defaultRowHeight="14.4" x14ac:dyDescent="0.3"/>
  <cols>
    <col min="1" max="1" width="14.5546875" bestFit="1" customWidth="1"/>
    <col min="2" max="2" width="15.5546875" bestFit="1" customWidth="1"/>
    <col min="3" max="3" width="11.44140625" bestFit="1" customWidth="1"/>
    <col min="4" max="4" width="8.33203125" bestFit="1" customWidth="1"/>
  </cols>
  <sheetData>
    <row r="1" spans="1:4" x14ac:dyDescent="0.3">
      <c r="A1" s="9" t="s">
        <v>54</v>
      </c>
      <c r="B1" s="9" t="s">
        <v>55</v>
      </c>
      <c r="C1" s="9" t="s">
        <v>56</v>
      </c>
      <c r="D1" s="9" t="s">
        <v>57</v>
      </c>
    </row>
    <row r="2" spans="1:4" x14ac:dyDescent="0.3">
      <c r="A2" s="8" t="s">
        <v>58</v>
      </c>
      <c r="B2" s="8">
        <v>9000</v>
      </c>
      <c r="C2" s="8" t="s">
        <v>52</v>
      </c>
      <c r="D2" s="8" t="str">
        <f>IF(OR(B2&gt;=10000,C2="Yes"),"Yes","No")</f>
        <v>No</v>
      </c>
    </row>
    <row r="3" spans="1:4" x14ac:dyDescent="0.3">
      <c r="A3" s="8" t="s">
        <v>59</v>
      </c>
      <c r="B3" s="8">
        <v>12000</v>
      </c>
      <c r="C3" s="8" t="s">
        <v>52</v>
      </c>
      <c r="D3" s="8" t="str">
        <f t="shared" ref="D3:D21" si="0">IF(OR(B3&gt;=10000,C3="Yes"),"Yes","No")</f>
        <v>Yes</v>
      </c>
    </row>
    <row r="4" spans="1:4" x14ac:dyDescent="0.3">
      <c r="A4" s="8" t="s">
        <v>6</v>
      </c>
      <c r="B4" s="8">
        <v>4000</v>
      </c>
      <c r="C4" s="8" t="s">
        <v>51</v>
      </c>
      <c r="D4" s="8" t="str">
        <f t="shared" si="0"/>
        <v>Yes</v>
      </c>
    </row>
    <row r="5" spans="1:4" x14ac:dyDescent="0.3">
      <c r="A5" s="8" t="s">
        <v>36</v>
      </c>
      <c r="B5" s="8">
        <v>3000</v>
      </c>
      <c r="C5" s="8" t="s">
        <v>52</v>
      </c>
      <c r="D5" s="8" t="str">
        <f t="shared" si="0"/>
        <v>No</v>
      </c>
    </row>
    <row r="6" spans="1:4" x14ac:dyDescent="0.3">
      <c r="A6" s="8" t="s">
        <v>16</v>
      </c>
      <c r="B6" s="8">
        <v>15000</v>
      </c>
      <c r="C6" s="8" t="s">
        <v>52</v>
      </c>
      <c r="D6" s="8" t="str">
        <f t="shared" si="0"/>
        <v>Yes</v>
      </c>
    </row>
    <row r="7" spans="1:4" x14ac:dyDescent="0.3">
      <c r="A7" s="8" t="s">
        <v>60</v>
      </c>
      <c r="B7" s="8">
        <v>8000</v>
      </c>
      <c r="C7" s="8" t="s">
        <v>51</v>
      </c>
      <c r="D7" s="8" t="str">
        <f t="shared" si="0"/>
        <v>Yes</v>
      </c>
    </row>
    <row r="8" spans="1:4" x14ac:dyDescent="0.3">
      <c r="A8" s="8" t="s">
        <v>61</v>
      </c>
      <c r="B8" s="8">
        <v>2000</v>
      </c>
      <c r="C8" s="8" t="s">
        <v>52</v>
      </c>
      <c r="D8" s="8" t="str">
        <f t="shared" si="0"/>
        <v>No</v>
      </c>
    </row>
    <row r="9" spans="1:4" x14ac:dyDescent="0.3">
      <c r="A9" s="8" t="s">
        <v>62</v>
      </c>
      <c r="B9" s="8">
        <v>11000</v>
      </c>
      <c r="C9" s="8" t="s">
        <v>52</v>
      </c>
      <c r="D9" s="8" t="str">
        <f t="shared" si="0"/>
        <v>Yes</v>
      </c>
    </row>
    <row r="10" spans="1:4" x14ac:dyDescent="0.3">
      <c r="A10" s="8" t="s">
        <v>63</v>
      </c>
      <c r="B10" s="8">
        <v>7000</v>
      </c>
      <c r="C10" s="8" t="s">
        <v>51</v>
      </c>
      <c r="D10" s="8" t="str">
        <f t="shared" si="0"/>
        <v>Yes</v>
      </c>
    </row>
    <row r="11" spans="1:4" x14ac:dyDescent="0.3">
      <c r="A11" s="8" t="s">
        <v>64</v>
      </c>
      <c r="B11" s="8">
        <v>9500</v>
      </c>
      <c r="C11" s="8" t="s">
        <v>52</v>
      </c>
      <c r="D11" s="8" t="str">
        <f t="shared" si="0"/>
        <v>No</v>
      </c>
    </row>
    <row r="12" spans="1:4" x14ac:dyDescent="0.3">
      <c r="A12" s="8" t="s">
        <v>20</v>
      </c>
      <c r="B12" s="8">
        <v>13000</v>
      </c>
      <c r="C12" s="8" t="s">
        <v>51</v>
      </c>
      <c r="D12" s="8" t="str">
        <f t="shared" si="0"/>
        <v>Yes</v>
      </c>
    </row>
    <row r="13" spans="1:4" x14ac:dyDescent="0.3">
      <c r="A13" s="8" t="s">
        <v>65</v>
      </c>
      <c r="B13" s="8">
        <v>5000</v>
      </c>
      <c r="C13" s="8" t="s">
        <v>52</v>
      </c>
      <c r="D13" s="8" t="str">
        <f t="shared" si="0"/>
        <v>No</v>
      </c>
    </row>
    <row r="14" spans="1:4" x14ac:dyDescent="0.3">
      <c r="A14" s="8" t="s">
        <v>66</v>
      </c>
      <c r="B14" s="8">
        <v>10000</v>
      </c>
      <c r="C14" s="8" t="s">
        <v>52</v>
      </c>
      <c r="D14" s="8" t="str">
        <f t="shared" si="0"/>
        <v>Yes</v>
      </c>
    </row>
    <row r="15" spans="1:4" x14ac:dyDescent="0.3">
      <c r="A15" s="8" t="s">
        <v>67</v>
      </c>
      <c r="B15" s="8">
        <v>6000</v>
      </c>
      <c r="C15" s="8" t="s">
        <v>51</v>
      </c>
      <c r="D15" s="8" t="str">
        <f t="shared" si="0"/>
        <v>Yes</v>
      </c>
    </row>
    <row r="16" spans="1:4" x14ac:dyDescent="0.3">
      <c r="A16" s="8" t="s">
        <v>68</v>
      </c>
      <c r="B16" s="8">
        <v>2500</v>
      </c>
      <c r="C16" s="8" t="s">
        <v>52</v>
      </c>
      <c r="D16" s="8" t="str">
        <f t="shared" si="0"/>
        <v>No</v>
      </c>
    </row>
    <row r="17" spans="1:4" x14ac:dyDescent="0.3">
      <c r="A17" s="8" t="s">
        <v>69</v>
      </c>
      <c r="B17" s="8">
        <v>10500</v>
      </c>
      <c r="C17" s="8" t="s">
        <v>52</v>
      </c>
      <c r="D17" s="8" t="str">
        <f t="shared" si="0"/>
        <v>Yes</v>
      </c>
    </row>
    <row r="18" spans="1:4" x14ac:dyDescent="0.3">
      <c r="A18" s="8" t="s">
        <v>70</v>
      </c>
      <c r="B18" s="8">
        <v>3000</v>
      </c>
      <c r="C18" s="8" t="s">
        <v>51</v>
      </c>
      <c r="D18" s="8" t="str">
        <f t="shared" si="0"/>
        <v>Yes</v>
      </c>
    </row>
    <row r="19" spans="1:4" x14ac:dyDescent="0.3">
      <c r="A19" s="8" t="s">
        <v>71</v>
      </c>
      <c r="B19" s="8">
        <v>4000</v>
      </c>
      <c r="C19" s="8" t="s">
        <v>52</v>
      </c>
      <c r="D19" s="8" t="str">
        <f t="shared" si="0"/>
        <v>No</v>
      </c>
    </row>
    <row r="20" spans="1:4" x14ac:dyDescent="0.3">
      <c r="A20" s="8" t="s">
        <v>72</v>
      </c>
      <c r="B20" s="8">
        <v>17000</v>
      </c>
      <c r="C20" s="8" t="s">
        <v>52</v>
      </c>
      <c r="D20" s="8" t="str">
        <f t="shared" si="0"/>
        <v>Yes</v>
      </c>
    </row>
    <row r="21" spans="1:4" x14ac:dyDescent="0.3">
      <c r="A21" s="8" t="s">
        <v>73</v>
      </c>
      <c r="B21" s="8">
        <v>2000</v>
      </c>
      <c r="C21" s="8" t="s">
        <v>51</v>
      </c>
      <c r="D21" s="8" t="str">
        <f t="shared" si="0"/>
        <v>Yes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2D6C-3E3A-4536-8322-33BADD05B77C}">
  <dimension ref="A1:D21"/>
  <sheetViews>
    <sheetView workbookViewId="0">
      <selection activeCell="I13" sqref="I13"/>
    </sheetView>
  </sheetViews>
  <sheetFormatPr defaultRowHeight="14.4" x14ac:dyDescent="0.3"/>
  <cols>
    <col min="1" max="1" width="9.109375" bestFit="1" customWidth="1"/>
    <col min="2" max="2" width="6.21875" bestFit="1" customWidth="1"/>
    <col min="3" max="3" width="10.44140625" bestFit="1" customWidth="1"/>
    <col min="4" max="4" width="10.5546875" bestFit="1" customWidth="1"/>
  </cols>
  <sheetData>
    <row r="1" spans="1:4" x14ac:dyDescent="0.3">
      <c r="A1" s="10" t="s">
        <v>74</v>
      </c>
      <c r="B1" s="10" t="s">
        <v>24</v>
      </c>
      <c r="C1" s="10" t="s">
        <v>75</v>
      </c>
      <c r="D1" s="10" t="s">
        <v>76</v>
      </c>
    </row>
    <row r="2" spans="1:4" x14ac:dyDescent="0.3">
      <c r="A2" s="8" t="s">
        <v>26</v>
      </c>
      <c r="B2" s="8">
        <v>35000</v>
      </c>
      <c r="C2" s="8">
        <v>720</v>
      </c>
      <c r="D2" s="8" t="str">
        <f>IF(OR(B2&gt;=40000,C2&gt;=700),"Approved","Rejected")</f>
        <v>Approved</v>
      </c>
    </row>
    <row r="3" spans="1:4" x14ac:dyDescent="0.3">
      <c r="A3" s="8" t="s">
        <v>27</v>
      </c>
      <c r="B3" s="8">
        <v>25000</v>
      </c>
      <c r="C3" s="8">
        <v>680</v>
      </c>
      <c r="D3" s="8" t="str">
        <f t="shared" ref="D3:D21" si="0">IF(OR(B3&gt;=40000,C3&gt;=700),"Approved","Rejected")</f>
        <v>Rejected</v>
      </c>
    </row>
    <row r="4" spans="1:4" x14ac:dyDescent="0.3">
      <c r="A4" s="8" t="s">
        <v>28</v>
      </c>
      <c r="B4" s="8">
        <v>50000</v>
      </c>
      <c r="C4" s="8">
        <v>650</v>
      </c>
      <c r="D4" s="8" t="str">
        <f t="shared" si="0"/>
        <v>Approved</v>
      </c>
    </row>
    <row r="5" spans="1:4" x14ac:dyDescent="0.3">
      <c r="A5" s="8" t="s">
        <v>29</v>
      </c>
      <c r="B5" s="8">
        <v>20000</v>
      </c>
      <c r="C5" s="8">
        <v>600</v>
      </c>
      <c r="D5" s="8" t="str">
        <f t="shared" si="0"/>
        <v>Rejected</v>
      </c>
    </row>
    <row r="6" spans="1:4" x14ac:dyDescent="0.3">
      <c r="A6" s="8" t="s">
        <v>4</v>
      </c>
      <c r="B6" s="8">
        <v>42000</v>
      </c>
      <c r="C6" s="8">
        <v>690</v>
      </c>
      <c r="D6" s="8" t="str">
        <f t="shared" si="0"/>
        <v>Approved</v>
      </c>
    </row>
    <row r="7" spans="1:4" x14ac:dyDescent="0.3">
      <c r="A7" s="8" t="s">
        <v>77</v>
      </c>
      <c r="B7" s="8">
        <v>30000</v>
      </c>
      <c r="C7" s="8">
        <v>710</v>
      </c>
      <c r="D7" s="8" t="str">
        <f t="shared" si="0"/>
        <v>Approved</v>
      </c>
    </row>
    <row r="8" spans="1:4" x14ac:dyDescent="0.3">
      <c r="A8" s="8" t="s">
        <v>78</v>
      </c>
      <c r="B8" s="8">
        <v>38000</v>
      </c>
      <c r="C8" s="8">
        <v>650</v>
      </c>
      <c r="D8" s="8" t="str">
        <f t="shared" si="0"/>
        <v>Rejected</v>
      </c>
    </row>
    <row r="9" spans="1:4" x14ac:dyDescent="0.3">
      <c r="A9" s="8" t="s">
        <v>65</v>
      </c>
      <c r="B9" s="8">
        <v>45000</v>
      </c>
      <c r="C9" s="8">
        <v>720</v>
      </c>
      <c r="D9" s="8" t="str">
        <f t="shared" si="0"/>
        <v>Approved</v>
      </c>
    </row>
    <row r="10" spans="1:4" x14ac:dyDescent="0.3">
      <c r="A10" s="8" t="s">
        <v>61</v>
      </c>
      <c r="B10" s="8">
        <v>28000</v>
      </c>
      <c r="C10" s="8">
        <v>705</v>
      </c>
      <c r="D10" s="8" t="str">
        <f t="shared" si="0"/>
        <v>Approved</v>
      </c>
    </row>
    <row r="11" spans="1:4" x14ac:dyDescent="0.3">
      <c r="A11" s="8" t="s">
        <v>64</v>
      </c>
      <c r="B11" s="8">
        <v>39000</v>
      </c>
      <c r="C11" s="8">
        <v>680</v>
      </c>
      <c r="D11" s="8" t="str">
        <f t="shared" si="0"/>
        <v>Rejected</v>
      </c>
    </row>
    <row r="12" spans="1:4" x14ac:dyDescent="0.3">
      <c r="A12" s="8" t="s">
        <v>20</v>
      </c>
      <c r="B12" s="8">
        <v>60000</v>
      </c>
      <c r="C12" s="8">
        <v>750</v>
      </c>
      <c r="D12" s="8" t="str">
        <f t="shared" si="0"/>
        <v>Approved</v>
      </c>
    </row>
    <row r="13" spans="1:4" x14ac:dyDescent="0.3">
      <c r="A13" s="8" t="s">
        <v>69</v>
      </c>
      <c r="B13" s="8">
        <v>22000</v>
      </c>
      <c r="C13" s="8">
        <v>710</v>
      </c>
      <c r="D13" s="8" t="str">
        <f t="shared" si="0"/>
        <v>Approved</v>
      </c>
    </row>
    <row r="14" spans="1:4" x14ac:dyDescent="0.3">
      <c r="A14" s="8" t="s">
        <v>79</v>
      </c>
      <c r="B14" s="8">
        <v>41000</v>
      </c>
      <c r="C14" s="8">
        <v>680</v>
      </c>
      <c r="D14" s="8" t="str">
        <f t="shared" si="0"/>
        <v>Approved</v>
      </c>
    </row>
    <row r="15" spans="1:4" x14ac:dyDescent="0.3">
      <c r="A15" s="8" t="s">
        <v>62</v>
      </c>
      <c r="B15" s="8">
        <v>37000</v>
      </c>
      <c r="C15" s="8">
        <v>690</v>
      </c>
      <c r="D15" s="8" t="str">
        <f t="shared" si="0"/>
        <v>Rejected</v>
      </c>
    </row>
    <row r="16" spans="1:4" x14ac:dyDescent="0.3">
      <c r="A16" s="8" t="s">
        <v>72</v>
      </c>
      <c r="B16" s="8">
        <v>48000</v>
      </c>
      <c r="C16" s="8">
        <v>640</v>
      </c>
      <c r="D16" s="8" t="str">
        <f t="shared" si="0"/>
        <v>Approved</v>
      </c>
    </row>
    <row r="17" spans="1:4" x14ac:dyDescent="0.3">
      <c r="A17" s="8" t="s">
        <v>73</v>
      </c>
      <c r="B17" s="8">
        <v>26000</v>
      </c>
      <c r="C17" s="8">
        <v>720</v>
      </c>
      <c r="D17" s="8" t="str">
        <f t="shared" si="0"/>
        <v>Approved</v>
      </c>
    </row>
    <row r="18" spans="1:4" x14ac:dyDescent="0.3">
      <c r="A18" s="8" t="s">
        <v>68</v>
      </c>
      <c r="B18" s="8">
        <v>33000</v>
      </c>
      <c r="C18" s="8">
        <v>660</v>
      </c>
      <c r="D18" s="8" t="str">
        <f t="shared" si="0"/>
        <v>Rejected</v>
      </c>
    </row>
    <row r="19" spans="1:4" x14ac:dyDescent="0.3">
      <c r="A19" s="8" t="s">
        <v>67</v>
      </c>
      <c r="B19" s="8">
        <v>52000</v>
      </c>
      <c r="C19" s="8">
        <v>730</v>
      </c>
      <c r="D19" s="8" t="str">
        <f t="shared" si="0"/>
        <v>Approved</v>
      </c>
    </row>
    <row r="20" spans="1:4" x14ac:dyDescent="0.3">
      <c r="A20" s="8" t="s">
        <v>70</v>
      </c>
      <c r="B20" s="8">
        <v>29000</v>
      </c>
      <c r="C20" s="8">
        <v>695</v>
      </c>
      <c r="D20" s="8" t="str">
        <f t="shared" si="0"/>
        <v>Rejected</v>
      </c>
    </row>
    <row r="21" spans="1:4" x14ac:dyDescent="0.3">
      <c r="A21" s="8" t="s">
        <v>71</v>
      </c>
      <c r="B21" s="8">
        <v>40500</v>
      </c>
      <c r="C21" s="8">
        <v>710</v>
      </c>
      <c r="D21" s="8" t="str">
        <f t="shared" si="0"/>
        <v>Approved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B386-36A0-437D-A918-B480832A61D3}">
  <dimension ref="A1:C21"/>
  <sheetViews>
    <sheetView workbookViewId="0">
      <selection activeCell="H13" sqref="H13"/>
    </sheetView>
  </sheetViews>
  <sheetFormatPr defaultRowHeight="14.4" x14ac:dyDescent="0.3"/>
  <cols>
    <col min="1" max="1" width="7.109375" bestFit="1" customWidth="1"/>
    <col min="2" max="2" width="7.33203125" bestFit="1" customWidth="1"/>
    <col min="3" max="3" width="7.21875" bestFit="1" customWidth="1"/>
  </cols>
  <sheetData>
    <row r="1" spans="1:3" x14ac:dyDescent="0.3">
      <c r="A1" s="11" t="s">
        <v>80</v>
      </c>
      <c r="B1" s="11" t="s">
        <v>81</v>
      </c>
      <c r="C1" s="11" t="s">
        <v>82</v>
      </c>
    </row>
    <row r="2" spans="1:3" x14ac:dyDescent="0.3">
      <c r="A2" s="8" t="s">
        <v>4</v>
      </c>
      <c r="B2" s="8" t="b">
        <v>1</v>
      </c>
      <c r="C2" s="8" t="str">
        <f>IF(NOT(B2),"Absent","Present")</f>
        <v>Present</v>
      </c>
    </row>
    <row r="3" spans="1:3" x14ac:dyDescent="0.3">
      <c r="A3" s="8" t="s">
        <v>5</v>
      </c>
      <c r="B3" s="8" t="b">
        <v>0</v>
      </c>
      <c r="C3" s="8" t="str">
        <f t="shared" ref="C3:C21" si="0">IF(NOT(B3),"Absent","Present")</f>
        <v>Absent</v>
      </c>
    </row>
    <row r="4" spans="1:3" x14ac:dyDescent="0.3">
      <c r="A4" s="8" t="s">
        <v>6</v>
      </c>
      <c r="B4" s="8" t="b">
        <v>1</v>
      </c>
      <c r="C4" s="8" t="str">
        <f t="shared" si="0"/>
        <v>Present</v>
      </c>
    </row>
    <row r="5" spans="1:3" x14ac:dyDescent="0.3">
      <c r="A5" s="8" t="s">
        <v>7</v>
      </c>
      <c r="B5" s="8" t="b">
        <v>0</v>
      </c>
      <c r="C5" s="8" t="str">
        <f t="shared" si="0"/>
        <v>Absent</v>
      </c>
    </row>
    <row r="6" spans="1:3" x14ac:dyDescent="0.3">
      <c r="A6" s="8" t="s">
        <v>16</v>
      </c>
      <c r="B6" s="8" t="b">
        <v>1</v>
      </c>
      <c r="C6" s="8" t="str">
        <f t="shared" si="0"/>
        <v>Present</v>
      </c>
    </row>
    <row r="7" spans="1:3" x14ac:dyDescent="0.3">
      <c r="A7" s="8" t="s">
        <v>83</v>
      </c>
      <c r="B7" s="8" t="b">
        <v>0</v>
      </c>
      <c r="C7" s="8" t="str">
        <f t="shared" si="0"/>
        <v>Absent</v>
      </c>
    </row>
    <row r="8" spans="1:3" x14ac:dyDescent="0.3">
      <c r="A8" s="8" t="s">
        <v>61</v>
      </c>
      <c r="B8" s="8" t="b">
        <v>1</v>
      </c>
      <c r="C8" s="8" t="str">
        <f t="shared" si="0"/>
        <v>Present</v>
      </c>
    </row>
    <row r="9" spans="1:3" x14ac:dyDescent="0.3">
      <c r="A9" s="8" t="s">
        <v>62</v>
      </c>
      <c r="B9" s="8" t="b">
        <v>1</v>
      </c>
      <c r="C9" s="8" t="str">
        <f t="shared" si="0"/>
        <v>Present</v>
      </c>
    </row>
    <row r="10" spans="1:3" x14ac:dyDescent="0.3">
      <c r="A10" s="8" t="s">
        <v>63</v>
      </c>
      <c r="B10" s="8" t="b">
        <v>0</v>
      </c>
      <c r="C10" s="8" t="str">
        <f t="shared" si="0"/>
        <v>Absent</v>
      </c>
    </row>
    <row r="11" spans="1:3" x14ac:dyDescent="0.3">
      <c r="A11" s="8" t="s">
        <v>64</v>
      </c>
      <c r="B11" s="8" t="b">
        <v>1</v>
      </c>
      <c r="C11" s="8" t="str">
        <f t="shared" si="0"/>
        <v>Present</v>
      </c>
    </row>
    <row r="12" spans="1:3" x14ac:dyDescent="0.3">
      <c r="A12" s="8" t="s">
        <v>20</v>
      </c>
      <c r="B12" s="8" t="b">
        <v>0</v>
      </c>
      <c r="C12" s="8" t="str">
        <f t="shared" si="0"/>
        <v>Absent</v>
      </c>
    </row>
    <row r="13" spans="1:3" x14ac:dyDescent="0.3">
      <c r="A13" s="8" t="s">
        <v>65</v>
      </c>
      <c r="B13" s="8" t="b">
        <v>1</v>
      </c>
      <c r="C13" s="8" t="str">
        <f t="shared" si="0"/>
        <v>Present</v>
      </c>
    </row>
    <row r="14" spans="1:3" x14ac:dyDescent="0.3">
      <c r="A14" s="8" t="s">
        <v>66</v>
      </c>
      <c r="B14" s="8" t="b">
        <v>0</v>
      </c>
      <c r="C14" s="8" t="str">
        <f t="shared" si="0"/>
        <v>Absent</v>
      </c>
    </row>
    <row r="15" spans="1:3" x14ac:dyDescent="0.3">
      <c r="A15" s="8" t="s">
        <v>67</v>
      </c>
      <c r="B15" s="8" t="b">
        <v>1</v>
      </c>
      <c r="C15" s="8" t="str">
        <f t="shared" si="0"/>
        <v>Present</v>
      </c>
    </row>
    <row r="16" spans="1:3" x14ac:dyDescent="0.3">
      <c r="A16" s="8" t="s">
        <v>68</v>
      </c>
      <c r="B16" s="8" t="b">
        <v>0</v>
      </c>
      <c r="C16" s="8" t="str">
        <f t="shared" si="0"/>
        <v>Absent</v>
      </c>
    </row>
    <row r="17" spans="1:3" x14ac:dyDescent="0.3">
      <c r="A17" s="8" t="s">
        <v>69</v>
      </c>
      <c r="B17" s="8" t="b">
        <v>1</v>
      </c>
      <c r="C17" s="8" t="str">
        <f t="shared" si="0"/>
        <v>Present</v>
      </c>
    </row>
    <row r="18" spans="1:3" x14ac:dyDescent="0.3">
      <c r="A18" s="8" t="s">
        <v>70</v>
      </c>
      <c r="B18" s="8" t="b">
        <v>0</v>
      </c>
      <c r="C18" s="8" t="str">
        <f t="shared" si="0"/>
        <v>Absent</v>
      </c>
    </row>
    <row r="19" spans="1:3" x14ac:dyDescent="0.3">
      <c r="A19" s="8" t="s">
        <v>71</v>
      </c>
      <c r="B19" s="8" t="b">
        <v>1</v>
      </c>
      <c r="C19" s="8" t="str">
        <f t="shared" si="0"/>
        <v>Present</v>
      </c>
    </row>
    <row r="20" spans="1:3" x14ac:dyDescent="0.3">
      <c r="A20" s="8" t="s">
        <v>72</v>
      </c>
      <c r="B20" s="8" t="b">
        <v>0</v>
      </c>
      <c r="C20" s="8" t="str">
        <f t="shared" si="0"/>
        <v>Absent</v>
      </c>
    </row>
    <row r="21" spans="1:3" x14ac:dyDescent="0.3">
      <c r="A21" s="8" t="s">
        <v>73</v>
      </c>
      <c r="B21" s="8" t="b">
        <v>1</v>
      </c>
      <c r="C21" s="8" t="str">
        <f t="shared" si="0"/>
        <v>Present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8D1C-61B8-4D2C-846F-11080526D100}">
  <dimension ref="A1:C21"/>
  <sheetViews>
    <sheetView workbookViewId="0">
      <selection sqref="A1:C1"/>
    </sheetView>
  </sheetViews>
  <sheetFormatPr defaultRowHeight="14.4" x14ac:dyDescent="0.3"/>
  <cols>
    <col min="1" max="2" width="9.109375" bestFit="1" customWidth="1"/>
    <col min="3" max="3" width="6.21875" bestFit="1" customWidth="1"/>
  </cols>
  <sheetData>
    <row r="1" spans="1:3" x14ac:dyDescent="0.3">
      <c r="A1" s="12" t="s">
        <v>84</v>
      </c>
      <c r="B1" s="12" t="s">
        <v>85</v>
      </c>
      <c r="C1" s="12" t="s">
        <v>3</v>
      </c>
    </row>
    <row r="2" spans="1:3" x14ac:dyDescent="0.3">
      <c r="A2" s="8">
        <v>10</v>
      </c>
      <c r="B2" s="8">
        <v>2</v>
      </c>
      <c r="C2" s="8">
        <f>IFERROR(A2/B2,"Invalid")</f>
        <v>5</v>
      </c>
    </row>
    <row r="3" spans="1:3" x14ac:dyDescent="0.3">
      <c r="A3" s="8">
        <v>15</v>
      </c>
      <c r="B3" s="8">
        <v>0</v>
      </c>
      <c r="C3" s="8" t="str">
        <f t="shared" ref="C3:C21" si="0">IFERROR(A3/B3,"Invalid")</f>
        <v>Invalid</v>
      </c>
    </row>
    <row r="4" spans="1:3" x14ac:dyDescent="0.3">
      <c r="A4" s="8">
        <v>20</v>
      </c>
      <c r="B4" s="8">
        <v>5</v>
      </c>
      <c r="C4" s="8">
        <f t="shared" si="0"/>
        <v>4</v>
      </c>
    </row>
    <row r="5" spans="1:3" x14ac:dyDescent="0.3">
      <c r="A5" s="8">
        <v>8</v>
      </c>
      <c r="B5" s="8">
        <v>0</v>
      </c>
      <c r="C5" s="8" t="str">
        <f t="shared" si="0"/>
        <v>Invalid</v>
      </c>
    </row>
    <row r="6" spans="1:3" x14ac:dyDescent="0.3">
      <c r="A6" s="8">
        <v>25</v>
      </c>
      <c r="B6" s="8">
        <v>5</v>
      </c>
      <c r="C6" s="8">
        <f t="shared" si="0"/>
        <v>5</v>
      </c>
    </row>
    <row r="7" spans="1:3" x14ac:dyDescent="0.3">
      <c r="A7" s="8">
        <v>18</v>
      </c>
      <c r="B7" s="8">
        <v>3</v>
      </c>
      <c r="C7" s="8">
        <f t="shared" si="0"/>
        <v>6</v>
      </c>
    </row>
    <row r="8" spans="1:3" x14ac:dyDescent="0.3">
      <c r="A8" s="8">
        <v>12</v>
      </c>
      <c r="B8" s="8">
        <v>0</v>
      </c>
      <c r="C8" s="8" t="str">
        <f t="shared" si="0"/>
        <v>Invalid</v>
      </c>
    </row>
    <row r="9" spans="1:3" x14ac:dyDescent="0.3">
      <c r="A9" s="8">
        <v>30</v>
      </c>
      <c r="B9" s="8">
        <v>6</v>
      </c>
      <c r="C9" s="8">
        <f t="shared" si="0"/>
        <v>5</v>
      </c>
    </row>
    <row r="10" spans="1:3" x14ac:dyDescent="0.3">
      <c r="A10" s="8">
        <v>14</v>
      </c>
      <c r="B10" s="8">
        <v>2</v>
      </c>
      <c r="C10" s="8">
        <f t="shared" si="0"/>
        <v>7</v>
      </c>
    </row>
    <row r="11" spans="1:3" x14ac:dyDescent="0.3">
      <c r="A11" s="8">
        <v>9</v>
      </c>
      <c r="B11" s="8">
        <v>0</v>
      </c>
      <c r="C11" s="8" t="str">
        <f t="shared" si="0"/>
        <v>Invalid</v>
      </c>
    </row>
    <row r="12" spans="1:3" x14ac:dyDescent="0.3">
      <c r="A12" s="8">
        <v>40</v>
      </c>
      <c r="B12" s="8">
        <v>8</v>
      </c>
      <c r="C12" s="8">
        <f t="shared" si="0"/>
        <v>5</v>
      </c>
    </row>
    <row r="13" spans="1:3" x14ac:dyDescent="0.3">
      <c r="A13" s="8">
        <v>16</v>
      </c>
      <c r="B13" s="8">
        <v>4</v>
      </c>
      <c r="C13" s="8">
        <f t="shared" si="0"/>
        <v>4</v>
      </c>
    </row>
    <row r="14" spans="1:3" x14ac:dyDescent="0.3">
      <c r="A14" s="8">
        <v>22</v>
      </c>
      <c r="B14" s="8">
        <v>0</v>
      </c>
      <c r="C14" s="8" t="str">
        <f t="shared" si="0"/>
        <v>Invalid</v>
      </c>
    </row>
    <row r="15" spans="1:3" x14ac:dyDescent="0.3">
      <c r="A15" s="8">
        <v>35</v>
      </c>
      <c r="B15" s="8">
        <v>7</v>
      </c>
      <c r="C15" s="8">
        <f t="shared" si="0"/>
        <v>5</v>
      </c>
    </row>
    <row r="16" spans="1:3" x14ac:dyDescent="0.3">
      <c r="A16" s="8">
        <v>27</v>
      </c>
      <c r="B16" s="8">
        <v>3</v>
      </c>
      <c r="C16" s="8">
        <f t="shared" si="0"/>
        <v>9</v>
      </c>
    </row>
    <row r="17" spans="1:3" x14ac:dyDescent="0.3">
      <c r="A17" s="8">
        <v>50</v>
      </c>
      <c r="B17" s="8">
        <v>10</v>
      </c>
      <c r="C17" s="8">
        <f t="shared" si="0"/>
        <v>5</v>
      </c>
    </row>
    <row r="18" spans="1:3" x14ac:dyDescent="0.3">
      <c r="A18" s="8">
        <v>11</v>
      </c>
      <c r="B18" s="8">
        <v>0</v>
      </c>
      <c r="C18" s="8" t="str">
        <f t="shared" si="0"/>
        <v>Invalid</v>
      </c>
    </row>
    <row r="19" spans="1:3" x14ac:dyDescent="0.3">
      <c r="A19" s="8">
        <v>45</v>
      </c>
      <c r="B19" s="8">
        <v>9</v>
      </c>
      <c r="C19" s="8">
        <f t="shared" si="0"/>
        <v>5</v>
      </c>
    </row>
    <row r="20" spans="1:3" x14ac:dyDescent="0.3">
      <c r="A20" s="8">
        <v>60</v>
      </c>
      <c r="B20" s="8">
        <v>12</v>
      </c>
      <c r="C20" s="8">
        <f t="shared" si="0"/>
        <v>5</v>
      </c>
    </row>
    <row r="21" spans="1:3" x14ac:dyDescent="0.3">
      <c r="A21" s="8">
        <v>13</v>
      </c>
      <c r="B21" s="8">
        <v>0</v>
      </c>
      <c r="C21" s="8" t="str">
        <f t="shared" si="0"/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E8FB-B84A-425A-B27F-A91F4238DF5F}">
  <dimension ref="A1:D21"/>
  <sheetViews>
    <sheetView tabSelected="1" workbookViewId="0">
      <selection activeCell="F13" sqref="F13"/>
    </sheetView>
  </sheetViews>
  <sheetFormatPr defaultRowHeight="14.4" x14ac:dyDescent="0.3"/>
  <cols>
    <col min="1" max="1" width="14.6640625" bestFit="1" customWidth="1"/>
    <col min="2" max="2" width="15.109375" bestFit="1" customWidth="1"/>
    <col min="3" max="3" width="12.44140625" bestFit="1" customWidth="1"/>
    <col min="4" max="4" width="17.33203125" bestFit="1" customWidth="1"/>
  </cols>
  <sheetData>
    <row r="1" spans="1:4" x14ac:dyDescent="0.3">
      <c r="A1" s="13" t="s">
        <v>23</v>
      </c>
      <c r="B1" s="13" t="s">
        <v>86</v>
      </c>
      <c r="C1" s="13" t="s">
        <v>87</v>
      </c>
      <c r="D1" s="13" t="s">
        <v>88</v>
      </c>
    </row>
    <row r="2" spans="1:4" x14ac:dyDescent="0.3">
      <c r="A2" s="8" t="s">
        <v>19</v>
      </c>
      <c r="B2" s="8">
        <v>45</v>
      </c>
      <c r="C2" s="8">
        <v>92</v>
      </c>
      <c r="D2" s="8" t="str">
        <f>IF(AND(B2&gt;=40,C2&gt;=90),"Excellent",IF(C2&gt;=80,"Good","Needs Improvement"))</f>
        <v>Excellent</v>
      </c>
    </row>
    <row r="3" spans="1:4" x14ac:dyDescent="0.3">
      <c r="A3" s="8" t="s">
        <v>89</v>
      </c>
      <c r="B3" s="8">
        <v>38</v>
      </c>
      <c r="C3" s="8">
        <v>85</v>
      </c>
      <c r="D3" s="8" t="str">
        <f t="shared" ref="D3:D21" si="0">IF(AND(B3&gt;=40,C3&gt;=90),"Excellent",IF(C3&gt;=80,"Good","Needs Improvement"))</f>
        <v>Good</v>
      </c>
    </row>
    <row r="4" spans="1:4" x14ac:dyDescent="0.3">
      <c r="A4" s="8" t="s">
        <v>90</v>
      </c>
      <c r="B4" s="8">
        <v>50</v>
      </c>
      <c r="C4" s="8">
        <v>95</v>
      </c>
      <c r="D4" s="8" t="str">
        <f t="shared" si="0"/>
        <v>Excellent</v>
      </c>
    </row>
    <row r="5" spans="1:4" x14ac:dyDescent="0.3">
      <c r="A5" s="8" t="s">
        <v>91</v>
      </c>
      <c r="B5" s="8">
        <v>30</v>
      </c>
      <c r="C5" s="8">
        <v>70</v>
      </c>
      <c r="D5" s="8" t="str">
        <f t="shared" si="0"/>
        <v>Needs Improvement</v>
      </c>
    </row>
    <row r="6" spans="1:4" x14ac:dyDescent="0.3">
      <c r="A6" s="8" t="s">
        <v>92</v>
      </c>
      <c r="B6" s="8">
        <v>42</v>
      </c>
      <c r="C6" s="8">
        <v>88</v>
      </c>
      <c r="D6" s="8" t="str">
        <f t="shared" si="0"/>
        <v>Good</v>
      </c>
    </row>
    <row r="7" spans="1:4" x14ac:dyDescent="0.3">
      <c r="A7" s="8" t="s">
        <v>65</v>
      </c>
      <c r="B7" s="8">
        <v>41</v>
      </c>
      <c r="C7" s="8">
        <v>91</v>
      </c>
      <c r="D7" s="8" t="str">
        <f t="shared" si="0"/>
        <v>Excellent</v>
      </c>
    </row>
    <row r="8" spans="1:4" x14ac:dyDescent="0.3">
      <c r="A8" s="8" t="s">
        <v>70</v>
      </c>
      <c r="B8" s="8">
        <v>35</v>
      </c>
      <c r="C8" s="8">
        <v>82</v>
      </c>
      <c r="D8" s="8" t="str">
        <f t="shared" si="0"/>
        <v>Good</v>
      </c>
    </row>
    <row r="9" spans="1:4" x14ac:dyDescent="0.3">
      <c r="A9" s="8" t="s">
        <v>64</v>
      </c>
      <c r="B9" s="8">
        <v>28</v>
      </c>
      <c r="C9" s="8">
        <v>75</v>
      </c>
      <c r="D9" s="8" t="str">
        <f t="shared" si="0"/>
        <v>Needs Improvement</v>
      </c>
    </row>
    <row r="10" spans="1:4" x14ac:dyDescent="0.3">
      <c r="A10" s="8" t="s">
        <v>22</v>
      </c>
      <c r="B10" s="8">
        <v>44</v>
      </c>
      <c r="C10" s="8">
        <v>90</v>
      </c>
      <c r="D10" s="8" t="str">
        <f t="shared" si="0"/>
        <v>Excellent</v>
      </c>
    </row>
    <row r="11" spans="1:4" x14ac:dyDescent="0.3">
      <c r="A11" s="8" t="s">
        <v>69</v>
      </c>
      <c r="B11" s="8">
        <v>39</v>
      </c>
      <c r="C11" s="8">
        <v>80</v>
      </c>
      <c r="D11" s="8" t="str">
        <f t="shared" si="0"/>
        <v>Good</v>
      </c>
    </row>
    <row r="12" spans="1:4" x14ac:dyDescent="0.3">
      <c r="A12" s="8" t="s">
        <v>63</v>
      </c>
      <c r="B12" s="8">
        <v>25</v>
      </c>
      <c r="C12" s="8">
        <v>78</v>
      </c>
      <c r="D12" s="8" t="str">
        <f t="shared" si="0"/>
        <v>Needs Improvement</v>
      </c>
    </row>
    <row r="13" spans="1:4" x14ac:dyDescent="0.3">
      <c r="A13" s="8" t="s">
        <v>40</v>
      </c>
      <c r="B13" s="8">
        <v>48</v>
      </c>
      <c r="C13" s="8">
        <v>93</v>
      </c>
      <c r="D13" s="8" t="str">
        <f t="shared" si="0"/>
        <v>Excellent</v>
      </c>
    </row>
    <row r="14" spans="1:4" x14ac:dyDescent="0.3">
      <c r="A14" s="8" t="s">
        <v>72</v>
      </c>
      <c r="B14" s="8">
        <v>37</v>
      </c>
      <c r="C14" s="8">
        <v>84</v>
      </c>
      <c r="D14" s="8" t="str">
        <f t="shared" si="0"/>
        <v>Good</v>
      </c>
    </row>
    <row r="15" spans="1:4" x14ac:dyDescent="0.3">
      <c r="A15" s="8" t="s">
        <v>83</v>
      </c>
      <c r="B15" s="8">
        <v>20</v>
      </c>
      <c r="C15" s="8">
        <v>65</v>
      </c>
      <c r="D15" s="8" t="str">
        <f t="shared" si="0"/>
        <v>Needs Improvement</v>
      </c>
    </row>
    <row r="16" spans="1:4" x14ac:dyDescent="0.3">
      <c r="A16" s="8" t="s">
        <v>61</v>
      </c>
      <c r="B16" s="8">
        <v>40</v>
      </c>
      <c r="C16" s="8">
        <v>89</v>
      </c>
      <c r="D16" s="8" t="str">
        <f t="shared" si="0"/>
        <v>Good</v>
      </c>
    </row>
    <row r="17" spans="1:4" x14ac:dyDescent="0.3">
      <c r="A17" s="8" t="s">
        <v>93</v>
      </c>
      <c r="B17" s="8">
        <v>43</v>
      </c>
      <c r="C17" s="8">
        <v>91</v>
      </c>
      <c r="D17" s="8" t="str">
        <f t="shared" si="0"/>
        <v>Excellent</v>
      </c>
    </row>
    <row r="18" spans="1:4" x14ac:dyDescent="0.3">
      <c r="A18" s="8" t="s">
        <v>94</v>
      </c>
      <c r="B18" s="8">
        <v>33</v>
      </c>
      <c r="C18" s="8">
        <v>81</v>
      </c>
      <c r="D18" s="8" t="str">
        <f t="shared" si="0"/>
        <v>Good</v>
      </c>
    </row>
    <row r="19" spans="1:4" x14ac:dyDescent="0.3">
      <c r="A19" s="8" t="s">
        <v>71</v>
      </c>
      <c r="B19" s="8">
        <v>29</v>
      </c>
      <c r="C19" s="8">
        <v>79</v>
      </c>
      <c r="D19" s="8" t="str">
        <f t="shared" si="0"/>
        <v>Needs Improvement</v>
      </c>
    </row>
    <row r="20" spans="1:4" x14ac:dyDescent="0.3">
      <c r="A20" s="8" t="s">
        <v>95</v>
      </c>
      <c r="B20" s="8">
        <v>46</v>
      </c>
      <c r="C20" s="8">
        <v>94</v>
      </c>
      <c r="D20" s="8" t="str">
        <f t="shared" si="0"/>
        <v>Excellent</v>
      </c>
    </row>
    <row r="21" spans="1:4" x14ac:dyDescent="0.3">
      <c r="A21" s="8" t="s">
        <v>96</v>
      </c>
      <c r="B21" s="8">
        <v>36</v>
      </c>
      <c r="C21" s="8">
        <v>83</v>
      </c>
      <c r="D21" s="8" t="str">
        <f t="shared" si="0"/>
        <v>Good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manushree madhwani</cp:lastModifiedBy>
  <dcterms:created xsi:type="dcterms:W3CDTF">2026-03-30T13:40:07Z</dcterms:created>
  <dcterms:modified xsi:type="dcterms:W3CDTF">2026-04-02T11:36:06Z</dcterms:modified>
</cp:coreProperties>
</file>