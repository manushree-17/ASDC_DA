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277aa2130570a1/Desktop/ASDC/"/>
    </mc:Choice>
  </mc:AlternateContent>
  <xr:revisionPtr revIDLastSave="224" documentId="8_{C45B8105-B952-4200-9068-C04E16B7CF05}" xr6:coauthVersionLast="47" xr6:coauthVersionMax="47" xr10:uidLastSave="{6AFFDB35-91B2-4467-A5C6-94584C2541BE}"/>
  <bookViews>
    <workbookView xWindow="-96" yWindow="0" windowWidth="15540" windowHeight="13056" activeTab="4" xr2:uid="{719EC382-E3A4-4FBA-AA30-6F0CF8242249}"/>
  </bookViews>
  <sheets>
    <sheet name="task1" sheetId="1" r:id="rId1"/>
    <sheet name="task2" sheetId="2" r:id="rId2"/>
    <sheet name="task3" sheetId="4" r:id="rId3"/>
    <sheet name="task4" sheetId="5" r:id="rId4"/>
    <sheet name="task5" sheetId="6" r:id="rId5"/>
    <sheet name="task 6" sheetId="7" r:id="rId6"/>
    <sheet name="task7" sheetId="8" r:id="rId7"/>
    <sheet name="task8" sheetId="9" r:id="rId8"/>
    <sheet name="task9" sheetId="10" r:id="rId9"/>
    <sheet name="task10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5" l="1"/>
  <c r="G6" i="5"/>
  <c r="G4" i="5"/>
  <c r="G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" i="4"/>
</calcChain>
</file>

<file path=xl/sharedStrings.xml><?xml version="1.0" encoding="utf-8"?>
<sst xmlns="http://schemas.openxmlformats.org/spreadsheetml/2006/main" count="465" uniqueCount="265">
  <si>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</si>
  <si>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</si>
  <si>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</si>
  <si>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</si>
  <si>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</si>
  <si>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</si>
  <si>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</si>
  <si>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</si>
  <si>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</si>
  <si>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</si>
  <si>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</si>
  <si>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</si>
  <si>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</si>
  <si>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</si>
  <si>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</si>
  <si>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</si>
  <si>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</si>
  <si>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</si>
  <si>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</si>
  <si>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</si>
  <si>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Sneha Joshi</t>
  </si>
  <si>
    <t>Marketing</t>
  </si>
  <si>
    <t>E107</t>
  </si>
  <si>
    <t>Karan Shah</t>
  </si>
  <si>
    <t>E108</t>
  </si>
  <si>
    <t>Riya Desai</t>
  </si>
  <si>
    <t>E109</t>
  </si>
  <si>
    <t>Mohit Agarwal</t>
  </si>
  <si>
    <t>E110</t>
  </si>
  <si>
    <t>Priya Nair</t>
  </si>
  <si>
    <t>E111</t>
  </si>
  <si>
    <t>Arjun Kapoor</t>
  </si>
  <si>
    <t>E112</t>
  </si>
  <si>
    <t>Kavita Iyer</t>
  </si>
  <si>
    <t>E113</t>
  </si>
  <si>
    <t>Rohit Gupta</t>
  </si>
  <si>
    <t>E114</t>
  </si>
  <si>
    <t>Simran Kaur</t>
  </si>
  <si>
    <t>E115</t>
  </si>
  <si>
    <t>Vivek Mishra</t>
  </si>
  <si>
    <t>E116</t>
  </si>
  <si>
    <t>Nisha Reddy</t>
  </si>
  <si>
    <t>E117</t>
  </si>
  <si>
    <t>Sandeep Yadav</t>
  </si>
  <si>
    <t>E118</t>
  </si>
  <si>
    <t>Meera Pillai</t>
  </si>
  <si>
    <t>E119</t>
  </si>
  <si>
    <t>Deepak Chauhan</t>
  </si>
  <si>
    <t>E120</t>
  </si>
  <si>
    <t>Alok Srivastava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</si>
  <si>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</si>
  <si>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</si>
  <si>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</si>
  <si>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</si>
  <si>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</si>
  <si>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</si>
  <si>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</si>
  <si>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</si>
  <si>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</si>
  <si>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</si>
  <si>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</si>
  <si>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</si>
  <si>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</si>
  <si>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</si>
  <si>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</si>
  <si>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</si>
  <si>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Apple MacBook Air M1</t>
  </si>
  <si>
    <t>Priya</t>
  </si>
  <si>
    <t>Logitech Keyboard K380</t>
  </si>
  <si>
    <t>Acer Aspire 7 Laptop</t>
  </si>
  <si>
    <t>Neha</t>
  </si>
  <si>
    <t>Dell 27-inch Monitor</t>
  </si>
  <si>
    <t>Rahul</t>
  </si>
  <si>
    <t>HP Pavilion Gaming Laptop</t>
  </si>
  <si>
    <t>Ankit</t>
  </si>
  <si>
    <t>Zebronics Bluetooth Speaker</t>
  </si>
  <si>
    <t>Simran</t>
  </si>
  <si>
    <t>Asus VivoBook 15</t>
  </si>
  <si>
    <t>Karan</t>
  </si>
  <si>
    <t>Pooja</t>
  </si>
  <si>
    <t>Apple Magic Mouse</t>
  </si>
  <si>
    <t>Vivek</t>
  </si>
  <si>
    <t>Sony Headphones WH-CH510</t>
  </si>
  <si>
    <t>Nisha</t>
  </si>
  <si>
    <t>LG Ultrawide Monitor</t>
  </si>
  <si>
    <t>Rohit</t>
  </si>
  <si>
    <t>MSI Gaming Laptop GF63</t>
  </si>
  <si>
    <t>Sandeep</t>
  </si>
  <si>
    <t>Lenovo Tab M10</t>
  </si>
  <si>
    <t>HP DeskJet Printer</t>
  </si>
  <si>
    <t>Deepak</t>
  </si>
  <si>
    <t>Samsung Galaxy Tablet</t>
  </si>
  <si>
    <t>Dell XPS 13 Laptop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</si>
  <si>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</si>
  <si>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</si>
  <si>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</si>
  <si>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</si>
  <si>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</si>
  <si>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</si>
  <si>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</si>
  <si>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</si>
  <si>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</si>
  <si>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</si>
  <si>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</si>
  <si>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</si>
  <si>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Farhan</t>
  </si>
  <si>
    <t>Gauri</t>
  </si>
  <si>
    <t>Harsh</t>
  </si>
  <si>
    <t>Isha</t>
  </si>
  <si>
    <t>Jay</t>
  </si>
  <si>
    <t>Khushi</t>
  </si>
  <si>
    <t>Laksh</t>
  </si>
  <si>
    <t>Mehul</t>
  </si>
  <si>
    <t>Naina</t>
  </si>
  <si>
    <t>Om</t>
  </si>
  <si>
    <t>Rohan</t>
  </si>
  <si>
    <t>Tanvi</t>
  </si>
  <si>
    <t>Uday</t>
  </si>
  <si>
    <t>Invoice No</t>
  </si>
  <si>
    <t>INV001</t>
  </si>
  <si>
    <t xml:space="preserve">    01-01-2024</t>
  </si>
  <si>
    <t>INV002</t>
  </si>
  <si>
    <t xml:space="preserve">    03-01-2024</t>
  </si>
  <si>
    <t>INV003</t>
  </si>
  <si>
    <t xml:space="preserve">    05-01-2024</t>
  </si>
  <si>
    <t>INV004</t>
  </si>
  <si>
    <t xml:space="preserve">    08-01-2024</t>
  </si>
  <si>
    <t>INV005</t>
  </si>
  <si>
    <t xml:space="preserve">    10-01-2024</t>
  </si>
  <si>
    <t>INV006</t>
  </si>
  <si>
    <t xml:space="preserve">    12-01-2024</t>
  </si>
  <si>
    <t>INV007</t>
  </si>
  <si>
    <t xml:space="preserve">    14-01-2024</t>
  </si>
  <si>
    <t>INV008</t>
  </si>
  <si>
    <t xml:space="preserve">    16-01-2024</t>
  </si>
  <si>
    <t>INV009</t>
  </si>
  <si>
    <t xml:space="preserve">    18-01-2024</t>
  </si>
  <si>
    <t>INV010</t>
  </si>
  <si>
    <t xml:space="preserve">    20-01-2024</t>
  </si>
  <si>
    <t>INV011</t>
  </si>
  <si>
    <t xml:space="preserve">    22-01-2024</t>
  </si>
  <si>
    <t>INV012</t>
  </si>
  <si>
    <t xml:space="preserve">    24-01-2024</t>
  </si>
  <si>
    <t>INV013</t>
  </si>
  <si>
    <t xml:space="preserve">    26-01-2024</t>
  </si>
  <si>
    <t>INV014</t>
  </si>
  <si>
    <t xml:space="preserve">    28-01-2024</t>
  </si>
  <si>
    <t>INV015</t>
  </si>
  <si>
    <t xml:space="preserve">    30-01-2024</t>
  </si>
  <si>
    <t>INV016</t>
  </si>
  <si>
    <t xml:space="preserve">    01-02-2024</t>
  </si>
  <si>
    <t>INV017</t>
  </si>
  <si>
    <t xml:space="preserve">    03-02-2024</t>
  </si>
  <si>
    <t>INV018</t>
  </si>
  <si>
    <t xml:space="preserve">    05-02-2024</t>
  </si>
  <si>
    <t>INV019</t>
  </si>
  <si>
    <t xml:space="preserve">    07-02-2024</t>
  </si>
  <si>
    <t>INV020</t>
  </si>
  <si>
    <t xml:space="preserve">    09-02-2024</t>
  </si>
  <si>
    <t xml:space="preserve">Date     </t>
  </si>
  <si>
    <t xml:space="preserve">   Sales Amount</t>
  </si>
  <si>
    <t>Average Sales</t>
  </si>
  <si>
    <t>Total Sales</t>
  </si>
  <si>
    <t>Highest Sales</t>
  </si>
  <si>
    <t>Lowest Sales</t>
  </si>
  <si>
    <t>Employee Name</t>
  </si>
  <si>
    <t>Suresh</t>
  </si>
  <si>
    <t xml:space="preserve">        HR</t>
  </si>
  <si>
    <t>Meena</t>
  </si>
  <si>
    <t xml:space="preserve">        IT</t>
  </si>
  <si>
    <t>Ritu</t>
  </si>
  <si>
    <t xml:space="preserve">        Finance</t>
  </si>
  <si>
    <t>Aman</t>
  </si>
  <si>
    <t>Neel</t>
  </si>
  <si>
    <t>Vikas</t>
  </si>
  <si>
    <t>Anita</t>
  </si>
  <si>
    <t>Manish</t>
  </si>
  <si>
    <t>Tina</t>
  </si>
  <si>
    <t>Gaurav</t>
  </si>
  <si>
    <t>Day 1</t>
  </si>
  <si>
    <t>Day 2</t>
  </si>
  <si>
    <t>Day 3</t>
  </si>
  <si>
    <t>Day 4</t>
  </si>
  <si>
    <t>Day 5</t>
  </si>
  <si>
    <t xml:space="preserve">        P</t>
  </si>
  <si>
    <t xml:space="preserve">    A</t>
  </si>
  <si>
    <t xml:space="preserve">    P</t>
  </si>
  <si>
    <t xml:space="preserve">        A</t>
  </si>
  <si>
    <t>Ishita</t>
  </si>
  <si>
    <t>Kavya</t>
  </si>
  <si>
    <t>Mitali</t>
  </si>
  <si>
    <t>Nikhil</t>
  </si>
  <si>
    <t>Ojas</t>
  </si>
  <si>
    <t>Pari</t>
  </si>
  <si>
    <t>Sanya</t>
  </si>
  <si>
    <t>Tushar</t>
  </si>
  <si>
    <t>Vidhi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</si>
  <si>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</si>
  <si>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</si>
  <si>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</si>
  <si>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</si>
  <si>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</si>
  <si>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</si>
  <si>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</si>
  <si>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</si>
  <si>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</si>
  <si>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</si>
  <si>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</si>
  <si>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</si>
  <si>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</si>
  <si>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</si>
  <si>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</si>
  <si>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</si>
  <si>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</si>
  <si>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</si>
  <si>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</si>
  <si>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</si>
  <si>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</si>
  <si>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Product</t>
  </si>
  <si>
    <t xml:space="preserve">        Sales Amount</t>
  </si>
  <si>
    <t>Mobile</t>
  </si>
  <si>
    <t>Headphones</t>
  </si>
  <si>
    <t>Laptop</t>
  </si>
  <si>
    <t>Keyboard</t>
  </si>
  <si>
    <t>Tablet</t>
  </si>
  <si>
    <t>Mouse</t>
  </si>
  <si>
    <t>Monitor</t>
  </si>
  <si>
    <t>Printer</t>
  </si>
  <si>
    <t>Camera</t>
  </si>
  <si>
    <t>Speaker</t>
  </si>
  <si>
    <t>Smartwatch</t>
  </si>
  <si>
    <t>Charger</t>
  </si>
  <si>
    <t>Power Bank</t>
  </si>
  <si>
    <t>Router</t>
  </si>
  <si>
    <t>USB Drive</t>
  </si>
  <si>
    <t>Hard Disk</t>
  </si>
  <si>
    <t>Webcam</t>
  </si>
  <si>
    <t>Microphone</t>
  </si>
  <si>
    <t>Projector</t>
  </si>
  <si>
    <t>Gaming Console</t>
  </si>
  <si>
    <t xml:space="preserve">    Marks</t>
  </si>
  <si>
    <t xml:space="preserve">        Aman</t>
  </si>
  <si>
    <t xml:space="preserve">        Bharti</t>
  </si>
  <si>
    <t xml:space="preserve">        Chetan</t>
  </si>
  <si>
    <t xml:space="preserve">        Deepa</t>
  </si>
  <si>
    <t xml:space="preserve">        Farhan</t>
  </si>
  <si>
    <t xml:space="preserve">        Gaurav</t>
  </si>
  <si>
    <t xml:space="preserve">        Hina</t>
  </si>
  <si>
    <t xml:space="preserve">        Imran</t>
  </si>
  <si>
    <t xml:space="preserve">        Jyoti</t>
  </si>
  <si>
    <t xml:space="preserve">        Karan</t>
  </si>
  <si>
    <t xml:space="preserve">        Lata</t>
  </si>
  <si>
    <t xml:space="preserve">        Mohit</t>
  </si>
  <si>
    <t xml:space="preserve">        Neha</t>
  </si>
  <si>
    <t xml:space="preserve">        Omkar</t>
  </si>
  <si>
    <t xml:space="preserve">        Pooja</t>
  </si>
  <si>
    <t xml:space="preserve">        Rahul</t>
  </si>
  <si>
    <t xml:space="preserve">        Sneha</t>
  </si>
  <si>
    <t xml:space="preserve">        Tarun</t>
  </si>
  <si>
    <t xml:space="preserve">        Usha</t>
  </si>
  <si>
    <t xml:space="preserve">        Vikas</t>
  </si>
  <si>
    <t>Vijay</t>
  </si>
  <si>
    <t>Mohan</t>
  </si>
  <si>
    <t>Amit</t>
  </si>
  <si>
    <t>Total Salary per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</si>
</sst>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 applyAlignment="1">
      <alignment vertical="center" wrapText="1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164" fontId="0" fillId="0" borderId="0" xfId="0" applyNumberFormat="1" applyAlignment="1"/>
    <xf numFmtId="0" fontId="3" fillId="5" borderId="0" xfId="0" applyFont="1" applyFill="1" applyAlignment="1"/>
    <xf numFmtId="0" fontId="3" fillId="5" borderId="0" xfId="0" applyFont="1" applyFill="1" applyAlignment="1">
      <alignment horizontal="center"/>
    </xf>
    <xf numFmtId="0" fontId="0" fillId="6" borderId="1" xfId="0" applyFill="1" applyBorder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2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524D-FFF6-4132-A062-ECE0B4A42A31}">
  <dimension ref="A1:E21"/>
  <sheetViews>
    <sheetView zoomScale="110" zoomScaleNormal="110" workbookViewId="0">
      <selection activeCell="J9" sqref="J9"/>
    </sheetView>
  </sheetViews>
  <sheetFormatPr defaultRowHeight="14.4" x14ac:dyDescent="0.3"/>
  <cols>
    <col min="1" max="1" width="11.5546875" bestFit="1" customWidth="1"/>
    <col min="2" max="2" width="15.33203125" bestFit="1" customWidth="1"/>
    <col min="3" max="3" width="11.21875" bestFit="1" customWidth="1"/>
    <col min="4" max="4" width="10.5546875" bestFit="1" customWidth="1"/>
    <col min="5" max="5" width="11.4414062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6" t="s">
        <v>5</v>
      </c>
      <c r="B2" s="6" t="s">
        <v>6</v>
      </c>
      <c r="C2" s="6" t="s">
        <v>7</v>
      </c>
      <c r="D2" s="7">
        <v>32000</v>
      </c>
      <c r="E2" s="8">
        <v>44573</v>
      </c>
    </row>
    <row r="3" spans="1:5" x14ac:dyDescent="0.3">
      <c r="A3" s="6" t="s">
        <v>8</v>
      </c>
      <c r="B3" s="6" t="s">
        <v>9</v>
      </c>
      <c r="C3" s="6" t="s">
        <v>10</v>
      </c>
      <c r="D3" s="7">
        <v>45000</v>
      </c>
      <c r="E3" s="8">
        <v>44260</v>
      </c>
    </row>
    <row r="4" spans="1:5" x14ac:dyDescent="0.3">
      <c r="A4" s="6" t="s">
        <v>11</v>
      </c>
      <c r="B4" s="6" t="s">
        <v>12</v>
      </c>
      <c r="C4" s="6" t="s">
        <v>13</v>
      </c>
      <c r="D4" s="7">
        <v>38000</v>
      </c>
      <c r="E4" s="8">
        <v>44030</v>
      </c>
    </row>
    <row r="5" spans="1:5" x14ac:dyDescent="0.3">
      <c r="A5" s="6" t="s">
        <v>14</v>
      </c>
      <c r="B5" s="6" t="s">
        <v>15</v>
      </c>
      <c r="C5" s="6" t="s">
        <v>10</v>
      </c>
      <c r="D5" s="7">
        <v>52000</v>
      </c>
      <c r="E5" s="8">
        <v>43779</v>
      </c>
    </row>
    <row r="6" spans="1:5" x14ac:dyDescent="0.3">
      <c r="A6" s="6" t="s">
        <v>16</v>
      </c>
      <c r="B6" s="6" t="s">
        <v>17</v>
      </c>
      <c r="C6" s="6" t="s">
        <v>18</v>
      </c>
      <c r="D6" s="7">
        <v>30000</v>
      </c>
      <c r="E6" s="8">
        <v>45102</v>
      </c>
    </row>
    <row r="7" spans="1:5" x14ac:dyDescent="0.3">
      <c r="A7" s="9" t="s">
        <v>19</v>
      </c>
      <c r="B7" s="9" t="s">
        <v>20</v>
      </c>
      <c r="C7" s="9" t="s">
        <v>21</v>
      </c>
      <c r="D7" s="10">
        <v>36000</v>
      </c>
      <c r="E7" s="11">
        <v>44606</v>
      </c>
    </row>
    <row r="8" spans="1:5" x14ac:dyDescent="0.3">
      <c r="A8" s="9" t="s">
        <v>22</v>
      </c>
      <c r="B8" s="9" t="s">
        <v>23</v>
      </c>
      <c r="C8" s="9" t="s">
        <v>10</v>
      </c>
      <c r="D8" s="10">
        <v>47000</v>
      </c>
      <c r="E8" s="11">
        <v>44438</v>
      </c>
    </row>
    <row r="9" spans="1:5" x14ac:dyDescent="0.3">
      <c r="A9" s="9" t="s">
        <v>24</v>
      </c>
      <c r="B9" s="9" t="s">
        <v>25</v>
      </c>
      <c r="C9" s="9" t="s">
        <v>7</v>
      </c>
      <c r="D9" s="10">
        <v>34000</v>
      </c>
      <c r="E9" s="11">
        <v>43973</v>
      </c>
    </row>
    <row r="10" spans="1:5" x14ac:dyDescent="0.3">
      <c r="A10" s="9" t="s">
        <v>26</v>
      </c>
      <c r="B10" s="9" t="s">
        <v>27</v>
      </c>
      <c r="C10" s="9" t="s">
        <v>13</v>
      </c>
      <c r="D10" s="10">
        <v>41000</v>
      </c>
      <c r="E10" s="11">
        <v>43810</v>
      </c>
    </row>
    <row r="11" spans="1:5" x14ac:dyDescent="0.3">
      <c r="A11" s="9" t="s">
        <v>28</v>
      </c>
      <c r="B11" s="9" t="s">
        <v>29</v>
      </c>
      <c r="C11" s="9" t="s">
        <v>18</v>
      </c>
      <c r="D11" s="10">
        <v>29000</v>
      </c>
      <c r="E11" s="11">
        <v>45172</v>
      </c>
    </row>
    <row r="12" spans="1:5" x14ac:dyDescent="0.3">
      <c r="A12" s="9" t="s">
        <v>30</v>
      </c>
      <c r="B12" s="9" t="s">
        <v>31</v>
      </c>
      <c r="C12" s="9" t="s">
        <v>10</v>
      </c>
      <c r="D12" s="10">
        <v>55000</v>
      </c>
      <c r="E12" s="11">
        <v>43117</v>
      </c>
    </row>
    <row r="13" spans="1:5" x14ac:dyDescent="0.3">
      <c r="A13" s="9" t="s">
        <v>32</v>
      </c>
      <c r="B13" s="9" t="s">
        <v>33</v>
      </c>
      <c r="C13" s="9" t="s">
        <v>21</v>
      </c>
      <c r="D13" s="10">
        <v>37000</v>
      </c>
      <c r="E13" s="11">
        <v>44315</v>
      </c>
    </row>
    <row r="14" spans="1:5" x14ac:dyDescent="0.3">
      <c r="A14" s="9" t="s">
        <v>34</v>
      </c>
      <c r="B14" s="9" t="s">
        <v>35</v>
      </c>
      <c r="C14" s="9" t="s">
        <v>13</v>
      </c>
      <c r="D14" s="10">
        <v>39500</v>
      </c>
      <c r="E14" s="11">
        <v>44018</v>
      </c>
    </row>
    <row r="15" spans="1:5" x14ac:dyDescent="0.3">
      <c r="A15" s="9" t="s">
        <v>36</v>
      </c>
      <c r="B15" s="9" t="s">
        <v>37</v>
      </c>
      <c r="C15" s="9" t="s">
        <v>7</v>
      </c>
      <c r="D15" s="10">
        <v>33000</v>
      </c>
      <c r="E15" s="11">
        <v>44853</v>
      </c>
    </row>
    <row r="16" spans="1:5" x14ac:dyDescent="0.3">
      <c r="A16" s="9" t="s">
        <v>38</v>
      </c>
      <c r="B16" s="9" t="s">
        <v>39</v>
      </c>
      <c r="C16" s="9" t="s">
        <v>18</v>
      </c>
      <c r="D16" s="10">
        <v>31000</v>
      </c>
      <c r="E16" s="11">
        <v>45085</v>
      </c>
    </row>
    <row r="17" spans="1:5" x14ac:dyDescent="0.3">
      <c r="A17" s="9" t="s">
        <v>40</v>
      </c>
      <c r="B17" s="9" t="s">
        <v>41</v>
      </c>
      <c r="C17" s="9" t="s">
        <v>10</v>
      </c>
      <c r="D17" s="10">
        <v>48000</v>
      </c>
      <c r="E17" s="11">
        <v>44280</v>
      </c>
    </row>
    <row r="18" spans="1:5" x14ac:dyDescent="0.3">
      <c r="A18" s="9" t="s">
        <v>42</v>
      </c>
      <c r="B18" s="9" t="s">
        <v>43</v>
      </c>
      <c r="C18" s="9" t="s">
        <v>21</v>
      </c>
      <c r="D18" s="10">
        <v>36500</v>
      </c>
      <c r="E18" s="11">
        <v>44147</v>
      </c>
    </row>
    <row r="19" spans="1:5" x14ac:dyDescent="0.3">
      <c r="A19" s="9" t="s">
        <v>44</v>
      </c>
      <c r="B19" s="9" t="s">
        <v>45</v>
      </c>
      <c r="C19" s="9" t="s">
        <v>13</v>
      </c>
      <c r="D19" s="10">
        <v>42000</v>
      </c>
      <c r="E19" s="11">
        <v>43497</v>
      </c>
    </row>
    <row r="20" spans="1:5" x14ac:dyDescent="0.3">
      <c r="A20" s="9" t="s">
        <v>46</v>
      </c>
      <c r="B20" s="9" t="s">
        <v>47</v>
      </c>
      <c r="C20" s="9" t="s">
        <v>18</v>
      </c>
      <c r="D20" s="10">
        <v>30500</v>
      </c>
      <c r="E20" s="11">
        <v>45122</v>
      </c>
    </row>
    <row r="21" spans="1:5" x14ac:dyDescent="0.3">
      <c r="A21" s="9" t="s">
        <v>48</v>
      </c>
      <c r="B21" s="9" t="s">
        <v>49</v>
      </c>
      <c r="C21" s="9" t="s">
        <v>7</v>
      </c>
      <c r="D21" s="10">
        <v>35000</v>
      </c>
      <c r="E21" s="11">
        <v>44800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F598-6BF3-4F54-9812-3F4BBA58F2E7}">
  <dimension ref="A1:D22"/>
  <sheetViews>
    <sheetView workbookViewId="0">
      <selection activeCell="A19" sqref="A19"/>
    </sheetView>
  </sheetViews>
  <sheetFormatPr defaultRowHeight="14.4" x14ac:dyDescent="0.3"/>
  <cols>
    <col min="1" max="1" width="25.21875" bestFit="1" customWidth="1"/>
    <col min="2" max="2" width="6.77734375" bestFit="1" customWidth="1"/>
    <col min="3" max="3" width="12.5546875" bestFit="1" customWidth="1"/>
    <col min="4" max="4" width="11" bestFit="1" customWidth="1"/>
  </cols>
  <sheetData>
    <row r="1" spans="1:4" x14ac:dyDescent="0.3">
      <c r="A1" s="15" t="s">
        <v>93</v>
      </c>
      <c r="B1" s="16"/>
      <c r="C1" s="16"/>
      <c r="D1" s="16"/>
    </row>
    <row r="2" spans="1:4" x14ac:dyDescent="0.3">
      <c r="A2" s="12" t="s">
        <v>50</v>
      </c>
      <c r="B2" s="12" t="s">
        <v>51</v>
      </c>
      <c r="C2" s="12" t="s">
        <v>52</v>
      </c>
      <c r="D2" s="12" t="s">
        <v>53</v>
      </c>
    </row>
    <row r="3" spans="1:4" x14ac:dyDescent="0.3">
      <c r="A3" s="1" t="s">
        <v>54</v>
      </c>
      <c r="B3" s="3" t="s">
        <v>55</v>
      </c>
      <c r="C3" s="4">
        <v>45000</v>
      </c>
      <c r="D3" s="2" t="s">
        <v>56</v>
      </c>
    </row>
    <row r="4" spans="1:4" x14ac:dyDescent="0.3">
      <c r="A4" s="1" t="s">
        <v>57</v>
      </c>
      <c r="B4" s="3" t="s">
        <v>58</v>
      </c>
      <c r="C4" s="4">
        <v>1200</v>
      </c>
      <c r="D4" s="2" t="s">
        <v>59</v>
      </c>
    </row>
    <row r="5" spans="1:4" x14ac:dyDescent="0.3">
      <c r="A5" s="1" t="s">
        <v>60</v>
      </c>
      <c r="B5" s="3" t="s">
        <v>61</v>
      </c>
      <c r="C5" s="4">
        <v>18000</v>
      </c>
      <c r="D5" s="2" t="s">
        <v>62</v>
      </c>
    </row>
    <row r="6" spans="1:4" x14ac:dyDescent="0.3">
      <c r="A6" s="1" t="s">
        <v>63</v>
      </c>
      <c r="B6" s="3" t="s">
        <v>64</v>
      </c>
      <c r="C6" s="4">
        <v>62000</v>
      </c>
      <c r="D6" s="2" t="s">
        <v>65</v>
      </c>
    </row>
    <row r="7" spans="1:4" x14ac:dyDescent="0.3">
      <c r="A7" s="1" t="s">
        <v>66</v>
      </c>
      <c r="B7" s="3" t="s">
        <v>55</v>
      </c>
      <c r="C7" s="4">
        <v>85000</v>
      </c>
      <c r="D7" s="2" t="s">
        <v>67</v>
      </c>
    </row>
    <row r="8" spans="1:4" x14ac:dyDescent="0.3">
      <c r="A8" s="1" t="s">
        <v>68</v>
      </c>
      <c r="B8" s="3" t="s">
        <v>58</v>
      </c>
      <c r="C8" s="4">
        <v>2500</v>
      </c>
      <c r="D8" s="2" t="s">
        <v>56</v>
      </c>
    </row>
    <row r="9" spans="1:4" x14ac:dyDescent="0.3">
      <c r="A9" s="1" t="s">
        <v>69</v>
      </c>
      <c r="B9" s="3" t="s">
        <v>61</v>
      </c>
      <c r="C9" s="4">
        <v>52000</v>
      </c>
      <c r="D9" s="2" t="s">
        <v>65</v>
      </c>
    </row>
    <row r="10" spans="1:4" x14ac:dyDescent="0.3">
      <c r="A10" s="1" t="s">
        <v>71</v>
      </c>
      <c r="B10" s="3" t="s">
        <v>64</v>
      </c>
      <c r="C10" s="4">
        <v>22000</v>
      </c>
      <c r="D10" s="2" t="s">
        <v>72</v>
      </c>
    </row>
    <row r="11" spans="1:4" x14ac:dyDescent="0.3">
      <c r="A11" s="1" t="s">
        <v>73</v>
      </c>
      <c r="B11" s="3" t="s">
        <v>55</v>
      </c>
      <c r="C11" s="4">
        <v>67000</v>
      </c>
      <c r="D11" s="2" t="s">
        <v>74</v>
      </c>
    </row>
    <row r="12" spans="1:4" x14ac:dyDescent="0.3">
      <c r="A12" s="1" t="s">
        <v>75</v>
      </c>
      <c r="B12" s="3" t="s">
        <v>58</v>
      </c>
      <c r="C12" s="4">
        <v>3000</v>
      </c>
      <c r="D12" s="2" t="s">
        <v>56</v>
      </c>
    </row>
    <row r="13" spans="1:4" x14ac:dyDescent="0.3">
      <c r="A13" s="1" t="s">
        <v>77</v>
      </c>
      <c r="B13" s="3" t="s">
        <v>61</v>
      </c>
      <c r="C13" s="4">
        <v>48000</v>
      </c>
      <c r="D13" s="2" t="s">
        <v>59</v>
      </c>
    </row>
    <row r="14" spans="1:4" x14ac:dyDescent="0.3">
      <c r="A14" s="1" t="s">
        <v>57</v>
      </c>
      <c r="B14" s="3" t="s">
        <v>64</v>
      </c>
      <c r="C14" s="4">
        <v>1000</v>
      </c>
      <c r="D14" s="2" t="s">
        <v>79</v>
      </c>
    </row>
    <row r="15" spans="1:4" x14ac:dyDescent="0.3">
      <c r="A15" s="1" t="s">
        <v>80</v>
      </c>
      <c r="B15" s="3" t="s">
        <v>55</v>
      </c>
      <c r="C15" s="4">
        <v>7500</v>
      </c>
      <c r="D15" s="2" t="s">
        <v>81</v>
      </c>
    </row>
    <row r="16" spans="1:4" x14ac:dyDescent="0.3">
      <c r="A16" s="1" t="s">
        <v>82</v>
      </c>
      <c r="B16" s="3" t="s">
        <v>58</v>
      </c>
      <c r="C16" s="4">
        <v>4000</v>
      </c>
      <c r="D16" s="2" t="s">
        <v>62</v>
      </c>
    </row>
    <row r="17" spans="1:4" x14ac:dyDescent="0.3">
      <c r="A17" s="1" t="s">
        <v>84</v>
      </c>
      <c r="B17" s="3" t="s">
        <v>61</v>
      </c>
      <c r="C17" s="4">
        <v>30000</v>
      </c>
      <c r="D17" s="2" t="s">
        <v>85</v>
      </c>
    </row>
    <row r="18" spans="1:4" x14ac:dyDescent="0.3">
      <c r="A18" s="1" t="s">
        <v>86</v>
      </c>
      <c r="B18" s="3" t="s">
        <v>64</v>
      </c>
      <c r="C18" s="4">
        <v>72000</v>
      </c>
      <c r="D18" s="2" t="s">
        <v>87</v>
      </c>
    </row>
    <row r="19" spans="1:4" x14ac:dyDescent="0.3">
      <c r="A19" s="1" t="s">
        <v>88</v>
      </c>
      <c r="B19" s="3" t="s">
        <v>55</v>
      </c>
      <c r="C19" s="4">
        <v>15000</v>
      </c>
      <c r="D19" s="2" t="s">
        <v>56</v>
      </c>
    </row>
    <row r="20" spans="1:4" x14ac:dyDescent="0.3">
      <c r="A20" s="1" t="s">
        <v>89</v>
      </c>
      <c r="B20" s="3" t="s">
        <v>58</v>
      </c>
      <c r="C20" s="4">
        <v>8500</v>
      </c>
      <c r="D20" s="2" t="s">
        <v>90</v>
      </c>
    </row>
    <row r="21" spans="1:4" x14ac:dyDescent="0.3">
      <c r="A21" s="1" t="s">
        <v>91</v>
      </c>
      <c r="B21" s="3" t="s">
        <v>61</v>
      </c>
      <c r="C21" s="4">
        <v>27000</v>
      </c>
      <c r="D21" s="2" t="s">
        <v>65</v>
      </c>
    </row>
    <row r="22" spans="1:4" x14ac:dyDescent="0.3">
      <c r="A22" s="1" t="s">
        <v>92</v>
      </c>
      <c r="B22" s="3" t="s">
        <v>64</v>
      </c>
      <c r="C22" s="4">
        <v>95000</v>
      </c>
      <c r="D22" s="2" t="s">
        <v>59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548B-C49E-4B70-8929-81B60C847D54}">
  <dimension ref="A1:F21"/>
  <sheetViews>
    <sheetView workbookViewId="0">
      <selection activeCell="E13" sqref="E13"/>
    </sheetView>
  </sheetViews>
  <sheetFormatPr defaultRowHeight="14.4" x14ac:dyDescent="0.3"/>
  <cols>
    <col min="1" max="1" width="8.6640625" bestFit="1" customWidth="1"/>
    <col min="2" max="2" width="16.33203125" bestFit="1" customWidth="1"/>
    <col min="3" max="3" width="7.6640625" bestFit="1" customWidth="1"/>
    <col min="4" max="4" width="9.109375" bestFit="1" customWidth="1"/>
    <col min="5" max="5" width="8.44140625" bestFit="1" customWidth="1"/>
    <col min="6" max="6" width="13.109375" bestFit="1" customWidth="1"/>
  </cols>
  <sheetData>
    <row r="1" spans="1:6" ht="18" x14ac:dyDescent="0.3">
      <c r="A1" s="14" t="s">
        <v>94</v>
      </c>
      <c r="B1" s="14" t="s">
        <v>95</v>
      </c>
      <c r="C1" s="14" t="s">
        <v>96</v>
      </c>
      <c r="D1" s="14" t="s">
        <v>97</v>
      </c>
      <c r="E1" s="14" t="s">
        <v>98</v>
      </c>
      <c r="F1" s="14" t="s">
        <v>99</v>
      </c>
    </row>
    <row r="2" spans="1:6" x14ac:dyDescent="0.3">
      <c r="A2" s="3">
        <v>1</v>
      </c>
      <c r="B2" s="3" t="s">
        <v>100</v>
      </c>
      <c r="C2" s="3">
        <v>78</v>
      </c>
      <c r="D2" s="3">
        <v>82</v>
      </c>
      <c r="E2" s="3">
        <v>74</v>
      </c>
      <c r="F2" s="13">
        <f>AVERAGE(C2:E2)/100</f>
        <v>0.78</v>
      </c>
    </row>
    <row r="3" spans="1:6" x14ac:dyDescent="0.3">
      <c r="A3" s="3">
        <v>2</v>
      </c>
      <c r="B3" s="3" t="s">
        <v>101</v>
      </c>
      <c r="C3" s="3">
        <v>65</v>
      </c>
      <c r="D3" s="3">
        <v>70</v>
      </c>
      <c r="E3" s="3">
        <v>68</v>
      </c>
      <c r="F3" s="13">
        <f t="shared" ref="F3:F21" si="0">AVERAGE(C3:E3)/100</f>
        <v>0.67666666666666675</v>
      </c>
    </row>
    <row r="4" spans="1:6" x14ac:dyDescent="0.3">
      <c r="A4" s="3">
        <v>3</v>
      </c>
      <c r="B4" s="3" t="s">
        <v>102</v>
      </c>
      <c r="C4" s="3">
        <v>90</v>
      </c>
      <c r="D4" s="3">
        <v>88</v>
      </c>
      <c r="E4" s="3">
        <v>92</v>
      </c>
      <c r="F4" s="13">
        <f t="shared" si="0"/>
        <v>0.9</v>
      </c>
    </row>
    <row r="5" spans="1:6" x14ac:dyDescent="0.3">
      <c r="A5" s="3">
        <v>4</v>
      </c>
      <c r="B5" s="3" t="s">
        <v>103</v>
      </c>
      <c r="C5" s="3">
        <v>35</v>
      </c>
      <c r="D5" s="3">
        <v>40</v>
      </c>
      <c r="E5" s="3">
        <v>38</v>
      </c>
      <c r="F5" s="13">
        <f t="shared" si="0"/>
        <v>0.37666666666666665</v>
      </c>
    </row>
    <row r="6" spans="1:6" x14ac:dyDescent="0.3">
      <c r="A6" s="3">
        <v>5</v>
      </c>
      <c r="B6" s="3" t="s">
        <v>104</v>
      </c>
      <c r="C6" s="3">
        <v>55</v>
      </c>
      <c r="D6" s="3">
        <v>60</v>
      </c>
      <c r="E6" s="3">
        <v>58</v>
      </c>
      <c r="F6" s="13">
        <f t="shared" si="0"/>
        <v>0.57666666666666666</v>
      </c>
    </row>
    <row r="7" spans="1:6" x14ac:dyDescent="0.3">
      <c r="A7" s="3">
        <v>6</v>
      </c>
      <c r="B7" s="3" t="s">
        <v>105</v>
      </c>
      <c r="C7" s="3">
        <v>72</v>
      </c>
      <c r="D7" s="3">
        <v>75</v>
      </c>
      <c r="E7" s="3">
        <v>70</v>
      </c>
      <c r="F7" s="13">
        <f t="shared" si="0"/>
        <v>0.72333333333333327</v>
      </c>
    </row>
    <row r="8" spans="1:6" x14ac:dyDescent="0.3">
      <c r="A8" s="3">
        <v>7</v>
      </c>
      <c r="B8" s="3" t="s">
        <v>106</v>
      </c>
      <c r="C8" s="3">
        <v>88</v>
      </c>
      <c r="D8" s="3">
        <v>85</v>
      </c>
      <c r="E8" s="3">
        <v>90</v>
      </c>
      <c r="F8" s="13">
        <f t="shared" si="0"/>
        <v>0.87666666666666671</v>
      </c>
    </row>
    <row r="9" spans="1:6" x14ac:dyDescent="0.3">
      <c r="A9" s="3">
        <v>8</v>
      </c>
      <c r="B9" s="3" t="s">
        <v>107</v>
      </c>
      <c r="C9" s="3">
        <v>60</v>
      </c>
      <c r="D9" s="3">
        <v>58</v>
      </c>
      <c r="E9" s="3">
        <v>62</v>
      </c>
      <c r="F9" s="13">
        <f t="shared" si="0"/>
        <v>0.6</v>
      </c>
    </row>
    <row r="10" spans="1:6" x14ac:dyDescent="0.3">
      <c r="A10" s="3">
        <v>9</v>
      </c>
      <c r="B10" s="3" t="s">
        <v>108</v>
      </c>
      <c r="C10" s="3">
        <v>91</v>
      </c>
      <c r="D10" s="3">
        <v>89</v>
      </c>
      <c r="E10" s="3">
        <v>94</v>
      </c>
      <c r="F10" s="13">
        <f t="shared" si="0"/>
        <v>0.91333333333333333</v>
      </c>
    </row>
    <row r="11" spans="1:6" x14ac:dyDescent="0.3">
      <c r="A11" s="3">
        <v>10</v>
      </c>
      <c r="B11" s="3" t="s">
        <v>109</v>
      </c>
      <c r="C11" s="3">
        <v>47</v>
      </c>
      <c r="D11" s="3">
        <v>50</v>
      </c>
      <c r="E11" s="3">
        <v>45</v>
      </c>
      <c r="F11" s="13">
        <f t="shared" si="0"/>
        <v>0.47333333333333338</v>
      </c>
    </row>
    <row r="12" spans="1:6" x14ac:dyDescent="0.3">
      <c r="A12" s="3">
        <v>11</v>
      </c>
      <c r="B12" s="3" t="s">
        <v>110</v>
      </c>
      <c r="C12" s="3">
        <v>98</v>
      </c>
      <c r="D12" s="3">
        <v>92</v>
      </c>
      <c r="E12" s="3">
        <v>85</v>
      </c>
      <c r="F12" s="13">
        <f t="shared" si="0"/>
        <v>0.91666666666666674</v>
      </c>
    </row>
    <row r="13" spans="1:6" x14ac:dyDescent="0.3">
      <c r="A13" s="3">
        <v>12</v>
      </c>
      <c r="B13" s="3" t="s">
        <v>111</v>
      </c>
      <c r="C13" s="3">
        <v>80</v>
      </c>
      <c r="D13" s="3">
        <v>78</v>
      </c>
      <c r="E13" s="3">
        <v>82</v>
      </c>
      <c r="F13" s="13">
        <f t="shared" si="0"/>
        <v>0.8</v>
      </c>
    </row>
    <row r="14" spans="1:6" x14ac:dyDescent="0.3">
      <c r="A14" s="3">
        <v>13</v>
      </c>
      <c r="B14" s="3" t="s">
        <v>112</v>
      </c>
      <c r="C14" s="3">
        <v>56</v>
      </c>
      <c r="D14" s="3">
        <v>60</v>
      </c>
      <c r="E14" s="3">
        <v>54</v>
      </c>
      <c r="F14" s="13">
        <f t="shared" si="0"/>
        <v>0.56666666666666665</v>
      </c>
    </row>
    <row r="15" spans="1:6" x14ac:dyDescent="0.3">
      <c r="A15" s="3">
        <v>14</v>
      </c>
      <c r="B15" s="3" t="s">
        <v>113</v>
      </c>
      <c r="C15" s="3">
        <v>92</v>
      </c>
      <c r="D15" s="3">
        <v>95</v>
      </c>
      <c r="E15" s="3">
        <v>94</v>
      </c>
      <c r="F15" s="13">
        <f t="shared" si="0"/>
        <v>0.93666666666666676</v>
      </c>
    </row>
    <row r="16" spans="1:6" x14ac:dyDescent="0.3">
      <c r="A16" s="3">
        <v>15</v>
      </c>
      <c r="B16" s="3" t="s">
        <v>114</v>
      </c>
      <c r="C16" s="3">
        <v>39</v>
      </c>
      <c r="D16" s="3">
        <v>42</v>
      </c>
      <c r="E16" s="3">
        <v>40</v>
      </c>
      <c r="F16" s="13">
        <f t="shared" si="0"/>
        <v>0.40333333333333338</v>
      </c>
    </row>
    <row r="17" spans="1:6" x14ac:dyDescent="0.3">
      <c r="A17" s="3">
        <v>16</v>
      </c>
      <c r="B17" s="3" t="s">
        <v>79</v>
      </c>
      <c r="C17" s="3">
        <v>74</v>
      </c>
      <c r="D17" s="3">
        <v>77</v>
      </c>
      <c r="E17" s="3">
        <v>73</v>
      </c>
      <c r="F17" s="13">
        <f t="shared" si="0"/>
        <v>0.7466666666666667</v>
      </c>
    </row>
    <row r="18" spans="1:6" x14ac:dyDescent="0.3">
      <c r="A18" s="3">
        <v>17</v>
      </c>
      <c r="B18" s="3" t="s">
        <v>115</v>
      </c>
      <c r="C18" s="3">
        <v>83</v>
      </c>
      <c r="D18" s="3">
        <v>80</v>
      </c>
      <c r="E18" s="3">
        <v>85</v>
      </c>
      <c r="F18" s="13">
        <f t="shared" si="0"/>
        <v>0.82666666666666666</v>
      </c>
    </row>
    <row r="19" spans="1:6" x14ac:dyDescent="0.3">
      <c r="A19" s="3">
        <v>18</v>
      </c>
      <c r="B19" s="3" t="s">
        <v>76</v>
      </c>
      <c r="C19" s="3">
        <v>66</v>
      </c>
      <c r="D19" s="3">
        <v>64</v>
      </c>
      <c r="E19" s="3">
        <v>68</v>
      </c>
      <c r="F19" s="13">
        <f t="shared" si="0"/>
        <v>0.66</v>
      </c>
    </row>
    <row r="20" spans="1:6" x14ac:dyDescent="0.3">
      <c r="A20" s="3">
        <v>19</v>
      </c>
      <c r="B20" s="3" t="s">
        <v>116</v>
      </c>
      <c r="C20" s="3">
        <v>89</v>
      </c>
      <c r="D20" s="3">
        <v>91</v>
      </c>
      <c r="E20" s="3">
        <v>90</v>
      </c>
      <c r="F20" s="13">
        <f t="shared" si="0"/>
        <v>0.9</v>
      </c>
    </row>
    <row r="21" spans="1:6" x14ac:dyDescent="0.3">
      <c r="A21" s="3">
        <v>20</v>
      </c>
      <c r="B21" s="3" t="s">
        <v>117</v>
      </c>
      <c r="C21" s="3">
        <v>52</v>
      </c>
      <c r="D21" s="3">
        <v>55</v>
      </c>
      <c r="E21" s="3">
        <v>50</v>
      </c>
      <c r="F21" s="13">
        <f t="shared" si="0"/>
        <v>0.52333333333333332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E6D4-854F-41B2-A46B-61A18D3AF5DE}">
  <dimension ref="A1:G21"/>
  <sheetViews>
    <sheetView workbookViewId="0">
      <selection activeCell="G12" sqref="G12"/>
    </sheetView>
  </sheetViews>
  <sheetFormatPr defaultRowHeight="14.4" x14ac:dyDescent="0.3"/>
  <cols>
    <col min="1" max="1" width="12.21875" bestFit="1" customWidth="1"/>
    <col min="2" max="2" width="12.109375" bestFit="1" customWidth="1"/>
    <col min="3" max="3" width="17.44140625" bestFit="1" customWidth="1"/>
    <col min="6" max="6" width="12.109375" bestFit="1" customWidth="1"/>
    <col min="7" max="7" width="11.88671875" bestFit="1" customWidth="1"/>
  </cols>
  <sheetData>
    <row r="1" spans="1:7" ht="18" x14ac:dyDescent="0.35">
      <c r="A1" s="20" t="s">
        <v>118</v>
      </c>
      <c r="B1" s="21" t="s">
        <v>159</v>
      </c>
      <c r="C1" s="21" t="s">
        <v>160</v>
      </c>
    </row>
    <row r="2" spans="1:7" x14ac:dyDescent="0.3">
      <c r="A2" s="17" t="s">
        <v>119</v>
      </c>
      <c r="B2" s="18" t="s">
        <v>120</v>
      </c>
      <c r="C2" s="19">
        <v>12000</v>
      </c>
      <c r="F2" s="22" t="s">
        <v>162</v>
      </c>
      <c r="G2" s="7">
        <f>SUM(C2:C21)</f>
        <v>412300</v>
      </c>
    </row>
    <row r="3" spans="1:7" x14ac:dyDescent="0.3">
      <c r="A3" s="17" t="s">
        <v>121</v>
      </c>
      <c r="B3" s="18" t="s">
        <v>122</v>
      </c>
      <c r="C3" s="19">
        <v>25000</v>
      </c>
    </row>
    <row r="4" spans="1:7" x14ac:dyDescent="0.3">
      <c r="A4" s="17" t="s">
        <v>123</v>
      </c>
      <c r="B4" s="18" t="s">
        <v>124</v>
      </c>
      <c r="C4" s="19">
        <v>8000</v>
      </c>
      <c r="F4" s="22" t="s">
        <v>161</v>
      </c>
      <c r="G4" s="7">
        <f>AVERAGE(C2:C21)</f>
        <v>20615</v>
      </c>
    </row>
    <row r="5" spans="1:7" x14ac:dyDescent="0.3">
      <c r="A5" s="17" t="s">
        <v>125</v>
      </c>
      <c r="B5" s="18" t="s">
        <v>126</v>
      </c>
      <c r="C5" s="19">
        <v>32000</v>
      </c>
    </row>
    <row r="6" spans="1:7" x14ac:dyDescent="0.3">
      <c r="A6" s="17" t="s">
        <v>127</v>
      </c>
      <c r="B6" s="18" t="s">
        <v>128</v>
      </c>
      <c r="C6" s="19">
        <v>15000</v>
      </c>
      <c r="F6" s="22" t="s">
        <v>163</v>
      </c>
      <c r="G6" s="7">
        <f>MAX(C2:C21)</f>
        <v>33000</v>
      </c>
    </row>
    <row r="7" spans="1:7" x14ac:dyDescent="0.3">
      <c r="A7" s="17" t="s">
        <v>129</v>
      </c>
      <c r="B7" s="18" t="s">
        <v>130</v>
      </c>
      <c r="C7" s="19">
        <v>21000</v>
      </c>
    </row>
    <row r="8" spans="1:7" x14ac:dyDescent="0.3">
      <c r="A8" s="17" t="s">
        <v>131</v>
      </c>
      <c r="B8" s="18" t="s">
        <v>132</v>
      </c>
      <c r="C8" s="19">
        <v>17500</v>
      </c>
      <c r="F8" s="22" t="s">
        <v>164</v>
      </c>
      <c r="G8" s="7">
        <f>MIN(C2:C21)</f>
        <v>8000</v>
      </c>
    </row>
    <row r="9" spans="1:7" x14ac:dyDescent="0.3">
      <c r="A9" s="17" t="s">
        <v>133</v>
      </c>
      <c r="B9" s="18" t="s">
        <v>134</v>
      </c>
      <c r="C9" s="19">
        <v>29000</v>
      </c>
    </row>
    <row r="10" spans="1:7" x14ac:dyDescent="0.3">
      <c r="A10" s="17" t="s">
        <v>135</v>
      </c>
      <c r="B10" s="18" t="s">
        <v>136</v>
      </c>
      <c r="C10" s="19">
        <v>9500</v>
      </c>
    </row>
    <row r="11" spans="1:7" x14ac:dyDescent="0.3">
      <c r="A11" s="17" t="s">
        <v>137</v>
      </c>
      <c r="B11" s="18" t="s">
        <v>138</v>
      </c>
      <c r="C11" s="19">
        <v>27000</v>
      </c>
    </row>
    <row r="12" spans="1:7" x14ac:dyDescent="0.3">
      <c r="A12" s="17" t="s">
        <v>139</v>
      </c>
      <c r="B12" s="18" t="s">
        <v>140</v>
      </c>
      <c r="C12" s="19">
        <v>13400</v>
      </c>
    </row>
    <row r="13" spans="1:7" x14ac:dyDescent="0.3">
      <c r="A13" s="17" t="s">
        <v>141</v>
      </c>
      <c r="B13" s="18" t="s">
        <v>142</v>
      </c>
      <c r="C13" s="19">
        <v>31000</v>
      </c>
    </row>
    <row r="14" spans="1:7" x14ac:dyDescent="0.3">
      <c r="A14" s="17" t="s">
        <v>143</v>
      </c>
      <c r="B14" s="18" t="s">
        <v>144</v>
      </c>
      <c r="C14" s="19">
        <v>22000</v>
      </c>
    </row>
    <row r="15" spans="1:7" x14ac:dyDescent="0.3">
      <c r="A15" s="17" t="s">
        <v>145</v>
      </c>
      <c r="B15" s="18" t="s">
        <v>146</v>
      </c>
      <c r="C15" s="19">
        <v>18000</v>
      </c>
    </row>
    <row r="16" spans="1:7" x14ac:dyDescent="0.3">
      <c r="A16" s="17" t="s">
        <v>147</v>
      </c>
      <c r="B16" s="18" t="s">
        <v>148</v>
      </c>
      <c r="C16" s="19">
        <v>26000</v>
      </c>
    </row>
    <row r="17" spans="1:3" x14ac:dyDescent="0.3">
      <c r="A17" s="17" t="s">
        <v>149</v>
      </c>
      <c r="B17" s="18" t="s">
        <v>150</v>
      </c>
      <c r="C17" s="19">
        <v>19500</v>
      </c>
    </row>
    <row r="18" spans="1:3" x14ac:dyDescent="0.3">
      <c r="A18" s="17" t="s">
        <v>151</v>
      </c>
      <c r="B18" s="18" t="s">
        <v>152</v>
      </c>
      <c r="C18" s="19">
        <v>30500</v>
      </c>
    </row>
    <row r="19" spans="1:3" x14ac:dyDescent="0.3">
      <c r="A19" s="17" t="s">
        <v>153</v>
      </c>
      <c r="B19" s="18" t="s">
        <v>154</v>
      </c>
      <c r="C19" s="19">
        <v>8700</v>
      </c>
    </row>
    <row r="20" spans="1:3" x14ac:dyDescent="0.3">
      <c r="A20" s="17" t="s">
        <v>155</v>
      </c>
      <c r="B20" s="18" t="s">
        <v>156</v>
      </c>
      <c r="C20" s="19">
        <v>14200</v>
      </c>
    </row>
    <row r="21" spans="1:3" x14ac:dyDescent="0.3">
      <c r="A21" s="17" t="s">
        <v>157</v>
      </c>
      <c r="B21" s="18" t="s">
        <v>158</v>
      </c>
      <c r="C21" s="19">
        <v>33000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BFF1-9F29-48AF-AAC9-49A01EAB1646}">
  <dimension ref="A1:F21"/>
  <sheetViews>
    <sheetView tabSelected="1" workbookViewId="0">
      <selection activeCell="G14" sqref="G14"/>
    </sheetView>
  </sheetViews>
  <sheetFormatPr defaultRowHeight="14.4" x14ac:dyDescent="0.3"/>
  <cols>
    <col min="1" max="1" width="14.44140625" bestFit="1" customWidth="1"/>
    <col min="2" max="2" width="10.77734375" bestFit="1" customWidth="1"/>
    <col min="3" max="3" width="10.44140625" bestFit="1" customWidth="1"/>
    <col min="5" max="5" width="11.33203125" customWidth="1"/>
    <col min="6" max="6" width="13.33203125" customWidth="1"/>
  </cols>
  <sheetData>
    <row r="1" spans="1:6" x14ac:dyDescent="0.3">
      <c r="A1" s="25" t="s">
        <v>165</v>
      </c>
      <c r="B1" s="25" t="s">
        <v>2</v>
      </c>
      <c r="C1" s="25" t="s">
        <v>3</v>
      </c>
    </row>
    <row r="2" spans="1:6" x14ac:dyDescent="0.3">
      <c r="A2" s="23" t="s">
        <v>166</v>
      </c>
      <c r="B2" s="23" t="s">
        <v>167</v>
      </c>
      <c r="C2" s="24">
        <v>28000</v>
      </c>
      <c r="E2" s="26" t="s">
        <v>264</v>
      </c>
      <c r="F2" s="26"/>
    </row>
    <row r="3" spans="1:6" x14ac:dyDescent="0.3">
      <c r="A3" s="23" t="s">
        <v>168</v>
      </c>
      <c r="B3" s="23" t="s">
        <v>169</v>
      </c>
      <c r="C3" s="24">
        <v>45000</v>
      </c>
      <c r="E3" t="s">
        <v>7</v>
      </c>
    </row>
    <row r="4" spans="1:6" x14ac:dyDescent="0.3">
      <c r="A4" s="23" t="s">
        <v>78</v>
      </c>
      <c r="B4" s="23" t="s">
        <v>169</v>
      </c>
      <c r="C4" s="24">
        <v>50000</v>
      </c>
      <c r="E4" t="s">
        <v>10</v>
      </c>
    </row>
    <row r="5" spans="1:6" x14ac:dyDescent="0.3">
      <c r="A5" s="23" t="s">
        <v>170</v>
      </c>
      <c r="B5" s="23" t="s">
        <v>171</v>
      </c>
      <c r="C5" s="24">
        <v>42000</v>
      </c>
      <c r="E5" t="s">
        <v>13</v>
      </c>
    </row>
    <row r="6" spans="1:6" x14ac:dyDescent="0.3">
      <c r="A6" s="23" t="s">
        <v>172</v>
      </c>
      <c r="B6" s="23" t="s">
        <v>167</v>
      </c>
      <c r="C6" s="24">
        <v>30000</v>
      </c>
    </row>
    <row r="7" spans="1:6" x14ac:dyDescent="0.3">
      <c r="A7" s="23" t="s">
        <v>173</v>
      </c>
      <c r="B7" s="23" t="s">
        <v>171</v>
      </c>
      <c r="C7" s="24">
        <v>38000</v>
      </c>
    </row>
    <row r="8" spans="1:6" x14ac:dyDescent="0.3">
      <c r="A8" s="23" t="s">
        <v>67</v>
      </c>
      <c r="B8" s="23" t="s">
        <v>169</v>
      </c>
      <c r="C8" s="24">
        <v>47000</v>
      </c>
    </row>
    <row r="9" spans="1:6" x14ac:dyDescent="0.3">
      <c r="A9" s="23" t="s">
        <v>72</v>
      </c>
      <c r="B9" s="23" t="s">
        <v>167</v>
      </c>
      <c r="C9" s="24">
        <v>29000</v>
      </c>
    </row>
    <row r="10" spans="1:6" x14ac:dyDescent="0.3">
      <c r="A10" s="23" t="s">
        <v>59</v>
      </c>
      <c r="B10" s="23" t="s">
        <v>171</v>
      </c>
      <c r="C10" s="24">
        <v>41000</v>
      </c>
    </row>
    <row r="11" spans="1:6" x14ac:dyDescent="0.3">
      <c r="A11" s="23" t="s">
        <v>174</v>
      </c>
      <c r="B11" s="23" t="s">
        <v>169</v>
      </c>
      <c r="C11" s="24">
        <v>52000</v>
      </c>
    </row>
    <row r="12" spans="1:6" x14ac:dyDescent="0.3">
      <c r="A12" s="23" t="s">
        <v>175</v>
      </c>
      <c r="B12" s="23" t="s">
        <v>167</v>
      </c>
      <c r="C12" s="24">
        <v>31000</v>
      </c>
    </row>
    <row r="13" spans="1:6" x14ac:dyDescent="0.3">
      <c r="A13" s="23" t="s">
        <v>85</v>
      </c>
      <c r="B13" s="23" t="s">
        <v>171</v>
      </c>
      <c r="C13" s="24">
        <v>36000</v>
      </c>
    </row>
    <row r="14" spans="1:6" x14ac:dyDescent="0.3">
      <c r="A14" s="23" t="s">
        <v>79</v>
      </c>
      <c r="B14" s="23" t="s">
        <v>169</v>
      </c>
      <c r="C14" s="24">
        <v>48000</v>
      </c>
    </row>
    <row r="15" spans="1:6" x14ac:dyDescent="0.3">
      <c r="A15" s="23" t="s">
        <v>90</v>
      </c>
      <c r="B15" s="23" t="s">
        <v>167</v>
      </c>
      <c r="C15" s="24">
        <v>27500</v>
      </c>
    </row>
    <row r="16" spans="1:6" x14ac:dyDescent="0.3">
      <c r="A16" s="23" t="s">
        <v>65</v>
      </c>
      <c r="B16" s="23" t="s">
        <v>171</v>
      </c>
      <c r="C16" s="24">
        <v>39500</v>
      </c>
    </row>
    <row r="17" spans="1:3" x14ac:dyDescent="0.3">
      <c r="A17" s="23" t="s">
        <v>62</v>
      </c>
      <c r="B17" s="23" t="s">
        <v>169</v>
      </c>
      <c r="C17" s="24">
        <v>51000</v>
      </c>
    </row>
    <row r="18" spans="1:3" x14ac:dyDescent="0.3">
      <c r="A18" s="23" t="s">
        <v>83</v>
      </c>
      <c r="B18" s="23" t="s">
        <v>167</v>
      </c>
      <c r="C18" s="24">
        <v>30500</v>
      </c>
    </row>
    <row r="19" spans="1:3" x14ac:dyDescent="0.3">
      <c r="A19" s="23" t="s">
        <v>176</v>
      </c>
      <c r="B19" s="23" t="s">
        <v>171</v>
      </c>
      <c r="C19" s="24">
        <v>37000</v>
      </c>
    </row>
    <row r="20" spans="1:3" x14ac:dyDescent="0.3">
      <c r="A20" s="23" t="s">
        <v>177</v>
      </c>
      <c r="B20" s="23" t="s">
        <v>169</v>
      </c>
      <c r="C20" s="24">
        <v>46000</v>
      </c>
    </row>
    <row r="21" spans="1:3" x14ac:dyDescent="0.3">
      <c r="A21" s="23" t="s">
        <v>178</v>
      </c>
      <c r="B21" s="23" t="s">
        <v>167</v>
      </c>
      <c r="C21" s="24">
        <v>28500</v>
      </c>
    </row>
  </sheetData>
  <mergeCells count="1">
    <mergeCell ref="E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B74EB-CCAD-4F83-B584-5F36E478BD73}">
  <dimension ref="A1:F21"/>
  <sheetViews>
    <sheetView workbookViewId="0">
      <selection activeCell="G19" sqref="G19"/>
    </sheetView>
  </sheetViews>
  <sheetFormatPr defaultRowHeight="14.4" x14ac:dyDescent="0.3"/>
  <sheetData>
    <row r="1" spans="1:6" x14ac:dyDescent="0.3">
      <c r="A1" t="s">
        <v>95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</row>
    <row r="2" spans="1:6" x14ac:dyDescent="0.3">
      <c r="A2" t="s">
        <v>100</v>
      </c>
      <c r="B2" t="s">
        <v>184</v>
      </c>
      <c r="C2" t="s">
        <v>185</v>
      </c>
      <c r="D2" t="s">
        <v>186</v>
      </c>
      <c r="E2" t="s">
        <v>186</v>
      </c>
      <c r="F2" t="s">
        <v>186</v>
      </c>
    </row>
    <row r="3" spans="1:6" x14ac:dyDescent="0.3">
      <c r="A3" t="s">
        <v>101</v>
      </c>
      <c r="B3" t="s">
        <v>184</v>
      </c>
      <c r="C3" t="s">
        <v>186</v>
      </c>
      <c r="D3" t="s">
        <v>186</v>
      </c>
      <c r="E3" t="s">
        <v>185</v>
      </c>
      <c r="F3" t="s">
        <v>186</v>
      </c>
    </row>
    <row r="4" spans="1:6" x14ac:dyDescent="0.3">
      <c r="A4" t="s">
        <v>102</v>
      </c>
      <c r="B4" t="s">
        <v>187</v>
      </c>
      <c r="C4" t="s">
        <v>186</v>
      </c>
      <c r="D4" t="s">
        <v>186</v>
      </c>
      <c r="E4" t="s">
        <v>186</v>
      </c>
      <c r="F4" t="s">
        <v>186</v>
      </c>
    </row>
    <row r="5" spans="1:6" x14ac:dyDescent="0.3">
      <c r="A5" t="s">
        <v>103</v>
      </c>
      <c r="B5" t="s">
        <v>184</v>
      </c>
      <c r="C5" t="s">
        <v>185</v>
      </c>
      <c r="D5" t="s">
        <v>185</v>
      </c>
      <c r="E5" t="s">
        <v>186</v>
      </c>
      <c r="F5" t="s">
        <v>185</v>
      </c>
    </row>
    <row r="6" spans="1:6" x14ac:dyDescent="0.3">
      <c r="A6" t="s">
        <v>104</v>
      </c>
      <c r="B6" t="s">
        <v>184</v>
      </c>
      <c r="C6" t="s">
        <v>186</v>
      </c>
      <c r="D6" t="s">
        <v>186</v>
      </c>
      <c r="E6" t="s">
        <v>186</v>
      </c>
      <c r="F6" t="s">
        <v>186</v>
      </c>
    </row>
    <row r="7" spans="1:6" x14ac:dyDescent="0.3">
      <c r="A7" t="s">
        <v>105</v>
      </c>
      <c r="B7" t="s">
        <v>187</v>
      </c>
      <c r="C7" t="s">
        <v>186</v>
      </c>
      <c r="D7" t="s">
        <v>185</v>
      </c>
      <c r="E7" t="s">
        <v>186</v>
      </c>
      <c r="F7" t="s">
        <v>186</v>
      </c>
    </row>
    <row r="8" spans="1:6" x14ac:dyDescent="0.3">
      <c r="A8" t="s">
        <v>106</v>
      </c>
      <c r="B8" t="s">
        <v>184</v>
      </c>
      <c r="C8" t="s">
        <v>186</v>
      </c>
      <c r="D8" t="s">
        <v>185</v>
      </c>
      <c r="E8" t="s">
        <v>186</v>
      </c>
      <c r="F8" t="s">
        <v>185</v>
      </c>
    </row>
    <row r="9" spans="1:6" x14ac:dyDescent="0.3">
      <c r="A9" t="s">
        <v>107</v>
      </c>
      <c r="B9" t="s">
        <v>184</v>
      </c>
      <c r="C9" t="s">
        <v>185</v>
      </c>
      <c r="D9" t="s">
        <v>186</v>
      </c>
      <c r="E9" t="s">
        <v>186</v>
      </c>
      <c r="F9" t="s">
        <v>186</v>
      </c>
    </row>
    <row r="10" spans="1:6" x14ac:dyDescent="0.3">
      <c r="A10" t="s">
        <v>188</v>
      </c>
      <c r="B10" t="s">
        <v>184</v>
      </c>
      <c r="C10" t="s">
        <v>186</v>
      </c>
      <c r="D10" t="s">
        <v>186</v>
      </c>
      <c r="E10" t="s">
        <v>185</v>
      </c>
      <c r="F10" t="s">
        <v>186</v>
      </c>
    </row>
    <row r="11" spans="1:6" x14ac:dyDescent="0.3">
      <c r="A11" t="s">
        <v>109</v>
      </c>
      <c r="B11" t="s">
        <v>187</v>
      </c>
      <c r="C11" t="s">
        <v>186</v>
      </c>
      <c r="D11" t="s">
        <v>186</v>
      </c>
      <c r="E11" t="s">
        <v>186</v>
      </c>
      <c r="F11" t="s">
        <v>186</v>
      </c>
    </row>
    <row r="12" spans="1:6" x14ac:dyDescent="0.3">
      <c r="A12" t="s">
        <v>189</v>
      </c>
      <c r="B12" t="s">
        <v>184</v>
      </c>
      <c r="C12" t="s">
        <v>186</v>
      </c>
      <c r="D12" t="s">
        <v>185</v>
      </c>
      <c r="E12" t="s">
        <v>185</v>
      </c>
      <c r="F12" t="s">
        <v>186</v>
      </c>
    </row>
    <row r="13" spans="1:6" x14ac:dyDescent="0.3">
      <c r="A13" t="s">
        <v>111</v>
      </c>
      <c r="B13" t="s">
        <v>184</v>
      </c>
      <c r="C13" t="s">
        <v>185</v>
      </c>
      <c r="D13" t="s">
        <v>186</v>
      </c>
      <c r="E13" t="s">
        <v>186</v>
      </c>
      <c r="F13" t="s">
        <v>185</v>
      </c>
    </row>
    <row r="14" spans="1:6" x14ac:dyDescent="0.3">
      <c r="A14" t="s">
        <v>190</v>
      </c>
      <c r="B14" t="s">
        <v>184</v>
      </c>
      <c r="C14" t="s">
        <v>186</v>
      </c>
      <c r="D14" t="s">
        <v>186</v>
      </c>
      <c r="E14" t="s">
        <v>186</v>
      </c>
      <c r="F14" t="s">
        <v>186</v>
      </c>
    </row>
    <row r="15" spans="1:6" x14ac:dyDescent="0.3">
      <c r="A15" t="s">
        <v>191</v>
      </c>
      <c r="B15" t="s">
        <v>187</v>
      </c>
      <c r="C15" t="s">
        <v>186</v>
      </c>
      <c r="D15" t="s">
        <v>186</v>
      </c>
      <c r="E15" t="s">
        <v>185</v>
      </c>
      <c r="F15" t="s">
        <v>186</v>
      </c>
    </row>
    <row r="16" spans="1:6" x14ac:dyDescent="0.3">
      <c r="A16" t="s">
        <v>192</v>
      </c>
      <c r="B16" t="s">
        <v>184</v>
      </c>
      <c r="C16" t="s">
        <v>185</v>
      </c>
      <c r="D16" t="s">
        <v>185</v>
      </c>
      <c r="E16" t="s">
        <v>186</v>
      </c>
      <c r="F16" t="s">
        <v>186</v>
      </c>
    </row>
    <row r="17" spans="1:6" x14ac:dyDescent="0.3">
      <c r="A17" t="s">
        <v>193</v>
      </c>
      <c r="B17" t="s">
        <v>184</v>
      </c>
      <c r="C17" t="s">
        <v>186</v>
      </c>
      <c r="D17" t="s">
        <v>186</v>
      </c>
      <c r="E17" t="s">
        <v>185</v>
      </c>
      <c r="F17" t="s">
        <v>186</v>
      </c>
    </row>
    <row r="18" spans="1:6" x14ac:dyDescent="0.3">
      <c r="A18" t="s">
        <v>115</v>
      </c>
      <c r="B18" t="s">
        <v>187</v>
      </c>
      <c r="C18" t="s">
        <v>186</v>
      </c>
      <c r="D18" t="s">
        <v>186</v>
      </c>
      <c r="E18" t="s">
        <v>186</v>
      </c>
      <c r="F18" t="s">
        <v>185</v>
      </c>
    </row>
    <row r="19" spans="1:6" x14ac:dyDescent="0.3">
      <c r="A19" t="s">
        <v>194</v>
      </c>
      <c r="B19" t="s">
        <v>184</v>
      </c>
      <c r="C19" t="s">
        <v>186</v>
      </c>
      <c r="D19" t="s">
        <v>185</v>
      </c>
      <c r="E19" t="s">
        <v>186</v>
      </c>
      <c r="F19" t="s">
        <v>186</v>
      </c>
    </row>
    <row r="20" spans="1:6" x14ac:dyDescent="0.3">
      <c r="A20" t="s">
        <v>195</v>
      </c>
      <c r="B20" t="s">
        <v>184</v>
      </c>
      <c r="C20" t="s">
        <v>185</v>
      </c>
      <c r="D20" t="s">
        <v>186</v>
      </c>
      <c r="E20" t="s">
        <v>186</v>
      </c>
      <c r="F20" t="s">
        <v>186</v>
      </c>
    </row>
    <row r="21" spans="1:6" x14ac:dyDescent="0.3">
      <c r="A21" t="s">
        <v>196</v>
      </c>
      <c r="B21" t="s">
        <v>184</v>
      </c>
      <c r="C21" t="s">
        <v>186</v>
      </c>
      <c r="D21" t="s">
        <v>186</v>
      </c>
      <c r="E21" t="s">
        <v>185</v>
      </c>
      <c r="F21" t="s">
        <v>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D243-F4DF-4F7B-9FC7-B9C08078302E}">
  <dimension ref="A1:B21"/>
  <sheetViews>
    <sheetView workbookViewId="0">
      <selection activeCell="G19" sqref="G19"/>
    </sheetView>
  </sheetViews>
  <sheetFormatPr defaultRowHeight="14.4" x14ac:dyDescent="0.3"/>
  <sheetData>
    <row r="1" spans="1:2" x14ac:dyDescent="0.3">
      <c r="A1" t="s">
        <v>197</v>
      </c>
      <c r="B1" t="s">
        <v>52</v>
      </c>
    </row>
    <row r="2" spans="1:2" x14ac:dyDescent="0.3">
      <c r="A2" t="s">
        <v>198</v>
      </c>
      <c r="B2">
        <v>4500</v>
      </c>
    </row>
    <row r="3" spans="1:2" x14ac:dyDescent="0.3">
      <c r="A3" t="s">
        <v>199</v>
      </c>
      <c r="B3">
        <v>12000</v>
      </c>
    </row>
    <row r="4" spans="1:2" x14ac:dyDescent="0.3">
      <c r="A4" t="s">
        <v>200</v>
      </c>
      <c r="B4">
        <v>8000</v>
      </c>
    </row>
    <row r="5" spans="1:2" x14ac:dyDescent="0.3">
      <c r="A5" t="s">
        <v>201</v>
      </c>
      <c r="B5">
        <v>25000</v>
      </c>
    </row>
    <row r="6" spans="1:2" x14ac:dyDescent="0.3">
      <c r="A6" t="s">
        <v>202</v>
      </c>
      <c r="B6">
        <v>3000</v>
      </c>
    </row>
    <row r="7" spans="1:2" x14ac:dyDescent="0.3">
      <c r="A7" t="s">
        <v>203</v>
      </c>
      <c r="B7">
        <v>15000</v>
      </c>
    </row>
    <row r="8" spans="1:2" x14ac:dyDescent="0.3">
      <c r="A8" t="s">
        <v>204</v>
      </c>
      <c r="B8">
        <v>9200</v>
      </c>
    </row>
    <row r="9" spans="1:2" x14ac:dyDescent="0.3">
      <c r="A9" t="s">
        <v>205</v>
      </c>
      <c r="B9">
        <v>17800</v>
      </c>
    </row>
    <row r="10" spans="1:2" x14ac:dyDescent="0.3">
      <c r="A10" t="s">
        <v>206</v>
      </c>
      <c r="B10">
        <v>6400</v>
      </c>
    </row>
    <row r="11" spans="1:2" x14ac:dyDescent="0.3">
      <c r="A11" t="s">
        <v>207</v>
      </c>
      <c r="B11">
        <v>22000</v>
      </c>
    </row>
    <row r="12" spans="1:2" x14ac:dyDescent="0.3">
      <c r="A12" t="s">
        <v>208</v>
      </c>
      <c r="B12">
        <v>13500</v>
      </c>
    </row>
    <row r="13" spans="1:2" x14ac:dyDescent="0.3">
      <c r="A13" t="s">
        <v>209</v>
      </c>
      <c r="B13">
        <v>27000</v>
      </c>
    </row>
    <row r="14" spans="1:2" x14ac:dyDescent="0.3">
      <c r="A14" t="s">
        <v>210</v>
      </c>
      <c r="B14">
        <v>5000</v>
      </c>
    </row>
    <row r="15" spans="1:2" x14ac:dyDescent="0.3">
      <c r="A15" t="s">
        <v>211</v>
      </c>
      <c r="B15">
        <v>16000</v>
      </c>
    </row>
    <row r="16" spans="1:2" x14ac:dyDescent="0.3">
      <c r="A16" t="s">
        <v>212</v>
      </c>
      <c r="B16">
        <v>8900</v>
      </c>
    </row>
    <row r="17" spans="1:2" x14ac:dyDescent="0.3">
      <c r="A17" t="s">
        <v>213</v>
      </c>
      <c r="B17">
        <v>24000</v>
      </c>
    </row>
    <row r="18" spans="1:2" x14ac:dyDescent="0.3">
      <c r="A18" t="s">
        <v>214</v>
      </c>
      <c r="B18">
        <v>7100</v>
      </c>
    </row>
    <row r="19" spans="1:2" x14ac:dyDescent="0.3">
      <c r="A19" t="s">
        <v>215</v>
      </c>
      <c r="B19">
        <v>19500</v>
      </c>
    </row>
    <row r="20" spans="1:2" x14ac:dyDescent="0.3">
      <c r="A20" t="s">
        <v>216</v>
      </c>
      <c r="B20">
        <v>30000</v>
      </c>
    </row>
    <row r="21" spans="1:2" x14ac:dyDescent="0.3">
      <c r="A21" t="s">
        <v>217</v>
      </c>
      <c r="B21">
        <v>12500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5FA5-AFFD-4209-9834-97C49B76F89B}">
  <dimension ref="A1:B21"/>
  <sheetViews>
    <sheetView workbookViewId="0">
      <selection activeCell="F20" sqref="F20"/>
    </sheetView>
  </sheetViews>
  <sheetFormatPr defaultRowHeight="14.4" x14ac:dyDescent="0.3"/>
  <sheetData>
    <row r="1" spans="1:2" x14ac:dyDescent="0.3">
      <c r="A1" t="s">
        <v>218</v>
      </c>
      <c r="B1" t="s">
        <v>219</v>
      </c>
    </row>
    <row r="2" spans="1:2" x14ac:dyDescent="0.3">
      <c r="A2" t="s">
        <v>220</v>
      </c>
      <c r="B2">
        <v>22000</v>
      </c>
    </row>
    <row r="3" spans="1:2" x14ac:dyDescent="0.3">
      <c r="A3" t="s">
        <v>221</v>
      </c>
      <c r="B3">
        <v>3500</v>
      </c>
    </row>
    <row r="4" spans="1:2" x14ac:dyDescent="0.3">
      <c r="A4" t="s">
        <v>222</v>
      </c>
      <c r="B4">
        <v>58000</v>
      </c>
    </row>
    <row r="5" spans="1:2" x14ac:dyDescent="0.3">
      <c r="A5" t="s">
        <v>223</v>
      </c>
      <c r="B5">
        <v>1800</v>
      </c>
    </row>
    <row r="6" spans="1:2" x14ac:dyDescent="0.3">
      <c r="A6" t="s">
        <v>224</v>
      </c>
      <c r="B6">
        <v>12000</v>
      </c>
    </row>
    <row r="7" spans="1:2" x14ac:dyDescent="0.3">
      <c r="A7" t="s">
        <v>225</v>
      </c>
      <c r="B7">
        <v>1500</v>
      </c>
    </row>
    <row r="8" spans="1:2" x14ac:dyDescent="0.3">
      <c r="A8" t="s">
        <v>226</v>
      </c>
      <c r="B8">
        <v>25000</v>
      </c>
    </row>
    <row r="9" spans="1:2" x14ac:dyDescent="0.3">
      <c r="A9" t="s">
        <v>227</v>
      </c>
      <c r="B9">
        <v>9000</v>
      </c>
    </row>
    <row r="10" spans="1:2" x14ac:dyDescent="0.3">
      <c r="A10" t="s">
        <v>228</v>
      </c>
      <c r="B10">
        <v>30000</v>
      </c>
    </row>
    <row r="11" spans="1:2" x14ac:dyDescent="0.3">
      <c r="A11" t="s">
        <v>229</v>
      </c>
      <c r="B11">
        <v>7000</v>
      </c>
    </row>
    <row r="12" spans="1:2" x14ac:dyDescent="0.3">
      <c r="A12" t="s">
        <v>230</v>
      </c>
      <c r="B12">
        <v>15000</v>
      </c>
    </row>
    <row r="13" spans="1:2" x14ac:dyDescent="0.3">
      <c r="A13" t="s">
        <v>231</v>
      </c>
      <c r="B13">
        <v>1200</v>
      </c>
    </row>
    <row r="14" spans="1:2" x14ac:dyDescent="0.3">
      <c r="A14" t="s">
        <v>232</v>
      </c>
      <c r="B14">
        <v>2000</v>
      </c>
    </row>
    <row r="15" spans="1:2" x14ac:dyDescent="0.3">
      <c r="A15" t="s">
        <v>233</v>
      </c>
      <c r="B15">
        <v>4500</v>
      </c>
    </row>
    <row r="16" spans="1:2" x14ac:dyDescent="0.3">
      <c r="A16" t="s">
        <v>234</v>
      </c>
      <c r="B16">
        <v>800</v>
      </c>
    </row>
    <row r="17" spans="1:2" x14ac:dyDescent="0.3">
      <c r="A17" t="s">
        <v>235</v>
      </c>
      <c r="B17">
        <v>6000</v>
      </c>
    </row>
    <row r="18" spans="1:2" x14ac:dyDescent="0.3">
      <c r="A18" t="s">
        <v>236</v>
      </c>
      <c r="B18">
        <v>2200</v>
      </c>
    </row>
    <row r="19" spans="1:2" x14ac:dyDescent="0.3">
      <c r="A19" t="s">
        <v>237</v>
      </c>
      <c r="B19">
        <v>3200</v>
      </c>
    </row>
    <row r="20" spans="1:2" x14ac:dyDescent="0.3">
      <c r="A20" t="s">
        <v>238</v>
      </c>
      <c r="B20">
        <v>40000</v>
      </c>
    </row>
    <row r="21" spans="1:2" x14ac:dyDescent="0.3">
      <c r="A21" t="s">
        <v>239</v>
      </c>
      <c r="B21">
        <v>35000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7895-B64D-41F3-9693-A707266F61D8}">
  <dimension ref="A1:C21"/>
  <sheetViews>
    <sheetView workbookViewId="0">
      <selection activeCell="H21" sqref="H21"/>
    </sheetView>
  </sheetViews>
  <sheetFormatPr defaultRowHeight="14.4" x14ac:dyDescent="0.3"/>
  <sheetData>
    <row r="1" spans="1:3" x14ac:dyDescent="0.3">
      <c r="A1" t="s">
        <v>94</v>
      </c>
      <c r="B1" t="s">
        <v>1</v>
      </c>
      <c r="C1" t="s">
        <v>240</v>
      </c>
    </row>
    <row r="2" spans="1:3" x14ac:dyDescent="0.3">
      <c r="A2">
        <v>1</v>
      </c>
      <c r="B2" t="s">
        <v>241</v>
      </c>
      <c r="C2">
        <v>85</v>
      </c>
    </row>
    <row r="3" spans="1:3" x14ac:dyDescent="0.3">
      <c r="A3">
        <v>2</v>
      </c>
      <c r="B3" t="s">
        <v>242</v>
      </c>
      <c r="C3">
        <v>72</v>
      </c>
    </row>
    <row r="4" spans="1:3" x14ac:dyDescent="0.3">
      <c r="A4">
        <v>3</v>
      </c>
      <c r="B4" t="s">
        <v>243</v>
      </c>
      <c r="C4">
        <v>39</v>
      </c>
    </row>
    <row r="5" spans="1:3" x14ac:dyDescent="0.3">
      <c r="A5">
        <v>4</v>
      </c>
      <c r="B5" t="s">
        <v>244</v>
      </c>
      <c r="C5">
        <v>91</v>
      </c>
    </row>
    <row r="6" spans="1:3" x14ac:dyDescent="0.3">
      <c r="A6">
        <v>5</v>
      </c>
      <c r="B6" t="s">
        <v>245</v>
      </c>
      <c r="C6">
        <v>28</v>
      </c>
    </row>
    <row r="7" spans="1:3" x14ac:dyDescent="0.3">
      <c r="A7">
        <v>6</v>
      </c>
      <c r="B7" t="s">
        <v>246</v>
      </c>
      <c r="C7">
        <v>67</v>
      </c>
    </row>
    <row r="8" spans="1:3" x14ac:dyDescent="0.3">
      <c r="A8">
        <v>7</v>
      </c>
      <c r="B8" t="s">
        <v>247</v>
      </c>
      <c r="C8">
        <v>74</v>
      </c>
    </row>
    <row r="9" spans="1:3" x14ac:dyDescent="0.3">
      <c r="A9">
        <v>8</v>
      </c>
      <c r="B9" t="s">
        <v>248</v>
      </c>
      <c r="C9">
        <v>52</v>
      </c>
    </row>
    <row r="10" spans="1:3" x14ac:dyDescent="0.3">
      <c r="A10">
        <v>9</v>
      </c>
      <c r="B10" t="s">
        <v>249</v>
      </c>
      <c r="C10">
        <v>88</v>
      </c>
    </row>
    <row r="11" spans="1:3" x14ac:dyDescent="0.3">
      <c r="A11">
        <v>10</v>
      </c>
      <c r="B11" t="s">
        <v>250</v>
      </c>
      <c r="C11">
        <v>61</v>
      </c>
    </row>
    <row r="12" spans="1:3" x14ac:dyDescent="0.3">
      <c r="A12">
        <v>11</v>
      </c>
      <c r="B12" t="s">
        <v>251</v>
      </c>
      <c r="C12">
        <v>79</v>
      </c>
    </row>
    <row r="13" spans="1:3" x14ac:dyDescent="0.3">
      <c r="A13">
        <v>12</v>
      </c>
      <c r="B13" t="s">
        <v>252</v>
      </c>
      <c r="C13">
        <v>46</v>
      </c>
    </row>
    <row r="14" spans="1:3" x14ac:dyDescent="0.3">
      <c r="A14">
        <v>13</v>
      </c>
      <c r="B14" t="s">
        <v>253</v>
      </c>
      <c r="C14">
        <v>83</v>
      </c>
    </row>
    <row r="15" spans="1:3" x14ac:dyDescent="0.3">
      <c r="A15">
        <v>14</v>
      </c>
      <c r="B15" t="s">
        <v>254</v>
      </c>
      <c r="C15">
        <v>58</v>
      </c>
    </row>
    <row r="16" spans="1:3" x14ac:dyDescent="0.3">
      <c r="A16">
        <v>15</v>
      </c>
      <c r="B16" t="s">
        <v>255</v>
      </c>
      <c r="C16">
        <v>92</v>
      </c>
    </row>
    <row r="17" spans="1:3" x14ac:dyDescent="0.3">
      <c r="A17">
        <v>16</v>
      </c>
      <c r="B17" t="s">
        <v>256</v>
      </c>
      <c r="C17">
        <v>64</v>
      </c>
    </row>
    <row r="18" spans="1:3" x14ac:dyDescent="0.3">
      <c r="A18">
        <v>17</v>
      </c>
      <c r="B18" t="s">
        <v>257</v>
      </c>
      <c r="C18">
        <v>77</v>
      </c>
    </row>
    <row r="19" spans="1:3" x14ac:dyDescent="0.3">
      <c r="A19">
        <v>18</v>
      </c>
      <c r="B19" t="s">
        <v>258</v>
      </c>
      <c r="C19">
        <v>41</v>
      </c>
    </row>
    <row r="20" spans="1:3" x14ac:dyDescent="0.3">
      <c r="A20">
        <v>19</v>
      </c>
      <c r="B20" t="s">
        <v>259</v>
      </c>
      <c r="C20">
        <v>69</v>
      </c>
    </row>
    <row r="21" spans="1:3" x14ac:dyDescent="0.3">
      <c r="A21">
        <v>20</v>
      </c>
      <c r="B21" t="s">
        <v>260</v>
      </c>
      <c r="C21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2A31B-A07F-42C4-BD17-63F38992423A}">
  <dimension ref="A1:B21"/>
  <sheetViews>
    <sheetView workbookViewId="0">
      <selection activeCell="I15" sqref="I15"/>
    </sheetView>
  </sheetViews>
  <sheetFormatPr defaultRowHeight="14.4" x14ac:dyDescent="0.3"/>
  <sheetData>
    <row r="1" spans="1:2" x14ac:dyDescent="0.3">
      <c r="A1" t="s">
        <v>165</v>
      </c>
      <c r="B1" t="s">
        <v>3</v>
      </c>
    </row>
    <row r="2" spans="1:2" x14ac:dyDescent="0.3">
      <c r="A2" t="s">
        <v>85</v>
      </c>
      <c r="B2">
        <v>28000</v>
      </c>
    </row>
    <row r="3" spans="1:2" x14ac:dyDescent="0.3">
      <c r="A3" t="s">
        <v>76</v>
      </c>
      <c r="B3">
        <v>34000</v>
      </c>
    </row>
    <row r="4" spans="1:2" x14ac:dyDescent="0.3">
      <c r="A4" t="s">
        <v>261</v>
      </c>
      <c r="B4">
        <v>51000</v>
      </c>
    </row>
    <row r="5" spans="1:2" x14ac:dyDescent="0.3">
      <c r="A5" t="s">
        <v>83</v>
      </c>
      <c r="B5">
        <v>47000</v>
      </c>
    </row>
    <row r="6" spans="1:2" x14ac:dyDescent="0.3">
      <c r="A6" t="s">
        <v>262</v>
      </c>
      <c r="B6">
        <v>29000</v>
      </c>
    </row>
    <row r="7" spans="1:2" x14ac:dyDescent="0.3">
      <c r="A7" t="s">
        <v>263</v>
      </c>
      <c r="B7">
        <v>32000</v>
      </c>
    </row>
    <row r="8" spans="1:2" x14ac:dyDescent="0.3">
      <c r="A8" t="s">
        <v>67</v>
      </c>
      <c r="B8">
        <v>45000</v>
      </c>
    </row>
    <row r="9" spans="1:2" x14ac:dyDescent="0.3">
      <c r="A9" t="s">
        <v>78</v>
      </c>
      <c r="B9">
        <v>38000</v>
      </c>
    </row>
    <row r="10" spans="1:2" x14ac:dyDescent="0.3">
      <c r="A10" t="s">
        <v>70</v>
      </c>
      <c r="B10">
        <v>41000</v>
      </c>
    </row>
    <row r="11" spans="1:2" x14ac:dyDescent="0.3">
      <c r="A11" t="s">
        <v>166</v>
      </c>
      <c r="B11">
        <v>30000</v>
      </c>
    </row>
    <row r="12" spans="1:2" x14ac:dyDescent="0.3">
      <c r="A12" t="s">
        <v>175</v>
      </c>
      <c r="B12">
        <v>36000</v>
      </c>
    </row>
    <row r="13" spans="1:2" x14ac:dyDescent="0.3">
      <c r="A13" t="s">
        <v>72</v>
      </c>
      <c r="B13">
        <v>52000</v>
      </c>
    </row>
    <row r="14" spans="1:2" x14ac:dyDescent="0.3">
      <c r="A14" t="s">
        <v>79</v>
      </c>
      <c r="B14">
        <v>39000</v>
      </c>
    </row>
    <row r="15" spans="1:2" x14ac:dyDescent="0.3">
      <c r="A15" t="s">
        <v>90</v>
      </c>
      <c r="B15">
        <v>27000</v>
      </c>
    </row>
    <row r="16" spans="1:2" x14ac:dyDescent="0.3">
      <c r="A16" t="s">
        <v>65</v>
      </c>
      <c r="B16">
        <v>43000</v>
      </c>
    </row>
    <row r="17" spans="1:2" x14ac:dyDescent="0.3">
      <c r="A17" t="s">
        <v>62</v>
      </c>
      <c r="B17">
        <v>48000</v>
      </c>
    </row>
    <row r="18" spans="1:2" x14ac:dyDescent="0.3">
      <c r="A18" t="s">
        <v>59</v>
      </c>
      <c r="B18">
        <v>35000</v>
      </c>
    </row>
    <row r="19" spans="1:2" x14ac:dyDescent="0.3">
      <c r="A19" t="s">
        <v>176</v>
      </c>
      <c r="B19">
        <v>33000</v>
      </c>
    </row>
    <row r="20" spans="1:2" x14ac:dyDescent="0.3">
      <c r="A20" t="s">
        <v>170</v>
      </c>
      <c r="B20">
        <v>37000</v>
      </c>
    </row>
    <row r="21" spans="1:2" x14ac:dyDescent="0.3">
      <c r="A21" t="s">
        <v>178</v>
      </c>
      <c r="B2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task2</vt:lpstr>
      <vt:lpstr>task3</vt:lpstr>
      <vt:lpstr>task4</vt:lpstr>
      <vt:lpstr>task5</vt:lpstr>
      <vt:lpstr>task 6</vt:lpstr>
      <vt:lpstr>task7</vt:lpstr>
      <vt:lpstr>task8</vt:lpstr>
      <vt:lpstr>task9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manushree madhwani</dc:creator>
  <cp:lastModifiedBy>manushree madhwani</cp:lastModifiedBy>
  <dcterms:created xsi:type="dcterms:W3CDTF">2026-03-30T05:13:23Z</dcterms:created>
  <dcterms:modified xsi:type="dcterms:W3CDTF">2026-03-30T09:26:19Z</dcterms:modified>
</cp:coreProperties>
</file>