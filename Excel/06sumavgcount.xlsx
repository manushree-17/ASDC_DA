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anushree_DA_12\"/>
    </mc:Choice>
  </mc:AlternateContent>
  <xr:revisionPtr revIDLastSave="0" documentId="13_ncr:1_{2A0D9EF1-839E-4CF1-95B6-567BADEE2B4C}" xr6:coauthVersionLast="47" xr6:coauthVersionMax="47" xr10:uidLastSave="{00000000-0000-0000-0000-000000000000}"/>
  <bookViews>
    <workbookView xWindow="11100" yWindow="4140" windowWidth="14355" windowHeight="11295" xr2:uid="{8F7E3256-AB72-45D3-ABFD-CF23D6031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1" l="1"/>
  <c r="J19" i="1"/>
  <c r="K17" i="1"/>
  <c r="J17" i="1"/>
  <c r="J15" i="1"/>
  <c r="J13" i="1"/>
  <c r="K11" i="1"/>
  <c r="J11" i="1"/>
  <c r="K7" i="1"/>
  <c r="J9" i="1"/>
  <c r="J7" i="1"/>
  <c r="J5" i="1"/>
  <c r="J3" i="1"/>
</calcChain>
</file>

<file path=xl/sharedStrings.xml><?xml version="1.0" encoding="utf-8"?>
<sst xmlns="http://schemas.openxmlformats.org/spreadsheetml/2006/main" count="48" uniqueCount="35">
  <si>
    <t>Order_ID</t>
  </si>
  <si>
    <t>Salesperson</t>
  </si>
  <si>
    <t>Region</t>
  </si>
  <si>
    <t>Product</t>
  </si>
  <si>
    <t>Sales_Amount</t>
  </si>
  <si>
    <t>Quantity</t>
  </si>
  <si>
    <t>Amit</t>
  </si>
  <si>
    <t>West</t>
  </si>
  <si>
    <t>Laptop</t>
  </si>
  <si>
    <t>Neha</t>
  </si>
  <si>
    <t>North</t>
  </si>
  <si>
    <t>Mobile</t>
  </si>
  <si>
    <t>Raj</t>
  </si>
  <si>
    <t>South</t>
  </si>
  <si>
    <t>Tablet</t>
  </si>
  <si>
    <t>Priya</t>
  </si>
  <si>
    <t>Karan</t>
  </si>
  <si>
    <t>East</t>
  </si>
  <si>
    <t>Sneha</t>
  </si>
  <si>
    <t>Rahul</t>
  </si>
  <si>
    <t>Pooja</t>
  </si>
  <si>
    <t>Vikram</t>
  </si>
  <si>
    <t>Anjali</t>
  </si>
  <si>
    <t>Tasks Performed</t>
  </si>
  <si>
    <t>Total Sales amount</t>
  </si>
  <si>
    <t>Total quantity sold</t>
  </si>
  <si>
    <t>total sales in the West region</t>
  </si>
  <si>
    <t>total sales amount for Mobile products</t>
  </si>
  <si>
    <t xml:space="preserve"> total sales in North region for Laptop products</t>
  </si>
  <si>
    <t>average sales amount</t>
  </si>
  <si>
    <t>average quantity sold per order</t>
  </si>
  <si>
    <t>average sales amount in the East region</t>
  </si>
  <si>
    <t>total number of orders</t>
  </si>
  <si>
    <t>orders are from West region with sales above 30,000</t>
  </si>
  <si>
    <t>Count number of orders for each 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</si>
</sst>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Bahnschrift SemiCondensed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3" fillId="3" borderId="0" xfId="0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C796-ABF0-448D-A4C4-AAE25D692D1E}">
  <dimension ref="A1:K23"/>
  <sheetViews>
    <sheetView tabSelected="1" workbookViewId="0">
      <selection activeCell="C23" sqref="C23"/>
    </sheetView>
  </sheetViews>
  <sheetFormatPr defaultRowHeight="15.75" x14ac:dyDescent="0.25"/>
  <cols>
    <col min="1" max="7" width="9" style="1"/>
    <col min="8" max="8" width="5.5" style="1" customWidth="1"/>
    <col min="9" max="9" width="44.875" style="1" bestFit="1" customWidth="1"/>
    <col min="10" max="10" width="7.75" style="1" bestFit="1" customWidth="1"/>
    <col min="11" max="16384" width="9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4" t="s">
        <v>23</v>
      </c>
      <c r="I1" s="4"/>
      <c r="J1" s="4"/>
    </row>
    <row r="2" spans="1:11" x14ac:dyDescent="0.25">
      <c r="A2" s="3">
        <v>1001</v>
      </c>
      <c r="B2" s="3" t="s">
        <v>6</v>
      </c>
      <c r="C2" s="3" t="s">
        <v>7</v>
      </c>
      <c r="D2" s="3" t="s">
        <v>8</v>
      </c>
      <c r="E2" s="3">
        <v>55000</v>
      </c>
      <c r="F2" s="3">
        <v>2</v>
      </c>
    </row>
    <row r="3" spans="1:11" x14ac:dyDescent="0.25">
      <c r="A3" s="3">
        <v>1002</v>
      </c>
      <c r="B3" s="3" t="s">
        <v>9</v>
      </c>
      <c r="C3" s="3" t="s">
        <v>10</v>
      </c>
      <c r="D3" s="3" t="s">
        <v>11</v>
      </c>
      <c r="E3" s="3">
        <v>20000</v>
      </c>
      <c r="F3" s="3">
        <v>5</v>
      </c>
      <c r="H3" s="5">
        <v>1</v>
      </c>
      <c r="I3" s="1" t="s">
        <v>24</v>
      </c>
      <c r="J3" s="1">
        <f>SUM(E2:E11)</f>
        <v>365000</v>
      </c>
    </row>
    <row r="4" spans="1:11" x14ac:dyDescent="0.25">
      <c r="A4" s="3">
        <v>1003</v>
      </c>
      <c r="B4" s="3" t="s">
        <v>12</v>
      </c>
      <c r="C4" s="3" t="s">
        <v>13</v>
      </c>
      <c r="D4" s="3" t="s">
        <v>14</v>
      </c>
      <c r="E4" s="3">
        <v>30000</v>
      </c>
      <c r="F4" s="3">
        <v>3</v>
      </c>
    </row>
    <row r="5" spans="1:11" x14ac:dyDescent="0.25">
      <c r="A5" s="3">
        <v>1004</v>
      </c>
      <c r="B5" s="3" t="s">
        <v>15</v>
      </c>
      <c r="C5" s="3" t="s">
        <v>7</v>
      </c>
      <c r="D5" s="3" t="s">
        <v>8</v>
      </c>
      <c r="E5" s="3">
        <v>60000</v>
      </c>
      <c r="F5" s="3">
        <v>2</v>
      </c>
      <c r="H5" s="5">
        <v>2</v>
      </c>
      <c r="I5" s="1" t="s">
        <v>25</v>
      </c>
      <c r="J5" s="1">
        <f>SUM(F2:F11)</f>
        <v>35</v>
      </c>
    </row>
    <row r="6" spans="1:11" x14ac:dyDescent="0.25">
      <c r="A6" s="3">
        <v>1005</v>
      </c>
      <c r="B6" s="3" t="s">
        <v>16</v>
      </c>
      <c r="C6" s="3" t="s">
        <v>17</v>
      </c>
      <c r="D6" s="3" t="s">
        <v>11</v>
      </c>
      <c r="E6" s="3">
        <v>18000</v>
      </c>
      <c r="F6" s="3">
        <v>4</v>
      </c>
    </row>
    <row r="7" spans="1:11" x14ac:dyDescent="0.25">
      <c r="A7" s="3">
        <v>1006</v>
      </c>
      <c r="B7" s="3" t="s">
        <v>18</v>
      </c>
      <c r="C7" s="3" t="s">
        <v>10</v>
      </c>
      <c r="D7" s="3" t="s">
        <v>8</v>
      </c>
      <c r="E7" s="3">
        <v>75000</v>
      </c>
      <c r="F7" s="3">
        <v>3</v>
      </c>
      <c r="H7" s="5">
        <v>3</v>
      </c>
      <c r="I7" s="1" t="s">
        <v>26</v>
      </c>
      <c r="J7" s="1">
        <f>SUMIF(C2:C11,"West",E2:E11)</f>
        <v>140000</v>
      </c>
      <c r="K7" s="1">
        <f>SUMIF(C2:C11,"West",F2:F11)</f>
        <v>9</v>
      </c>
    </row>
    <row r="8" spans="1:11" x14ac:dyDescent="0.25">
      <c r="A8" s="3">
        <v>1007</v>
      </c>
      <c r="B8" s="3" t="s">
        <v>19</v>
      </c>
      <c r="C8" s="3" t="s">
        <v>13</v>
      </c>
      <c r="D8" s="3" t="s">
        <v>11</v>
      </c>
      <c r="E8" s="3">
        <v>22000</v>
      </c>
      <c r="F8" s="3">
        <v>6</v>
      </c>
    </row>
    <row r="9" spans="1:11" x14ac:dyDescent="0.25">
      <c r="A9" s="3">
        <v>1008</v>
      </c>
      <c r="B9" s="3" t="s">
        <v>20</v>
      </c>
      <c r="C9" s="3" t="s">
        <v>17</v>
      </c>
      <c r="D9" s="3" t="s">
        <v>14</v>
      </c>
      <c r="E9" s="3">
        <v>28000</v>
      </c>
      <c r="F9" s="3">
        <v>2</v>
      </c>
      <c r="H9" s="5">
        <v>4</v>
      </c>
      <c r="I9" s="1" t="s">
        <v>27</v>
      </c>
      <c r="J9" s="1">
        <f>SUMIF(D2:D11,"Mobile",E2:E11)</f>
        <v>85000</v>
      </c>
    </row>
    <row r="10" spans="1:11" x14ac:dyDescent="0.25">
      <c r="A10" s="3">
        <v>1009</v>
      </c>
      <c r="B10" s="3" t="s">
        <v>21</v>
      </c>
      <c r="C10" s="3" t="s">
        <v>7</v>
      </c>
      <c r="D10" s="3" t="s">
        <v>11</v>
      </c>
      <c r="E10" s="3">
        <v>25000</v>
      </c>
      <c r="F10" s="3">
        <v>5</v>
      </c>
    </row>
    <row r="11" spans="1:11" x14ac:dyDescent="0.25">
      <c r="A11" s="3">
        <v>1010</v>
      </c>
      <c r="B11" s="3" t="s">
        <v>22</v>
      </c>
      <c r="C11" s="3" t="s">
        <v>10</v>
      </c>
      <c r="D11" s="3" t="s">
        <v>14</v>
      </c>
      <c r="E11" s="3">
        <v>32000</v>
      </c>
      <c r="F11" s="3">
        <v>3</v>
      </c>
      <c r="H11" s="5">
        <v>5</v>
      </c>
      <c r="I11" s="1" t="s">
        <v>28</v>
      </c>
      <c r="J11" s="1">
        <f>SUMIFS(E2:E11,C2:C11,"North",D2:D11,"Laptop")</f>
        <v>75000</v>
      </c>
      <c r="K11" s="1">
        <f>SUMIFS(F2:F11,C2:C11,"North",D2:D11,"Laptop")</f>
        <v>3</v>
      </c>
    </row>
    <row r="13" spans="1:11" x14ac:dyDescent="0.25">
      <c r="H13" s="5">
        <v>6</v>
      </c>
      <c r="I13" s="1" t="s">
        <v>29</v>
      </c>
      <c r="J13" s="1">
        <f>AVERAGE(E2:E11)</f>
        <v>36500</v>
      </c>
    </row>
    <row r="15" spans="1:11" x14ac:dyDescent="0.25">
      <c r="H15" s="5">
        <v>7</v>
      </c>
      <c r="I15" s="1" t="s">
        <v>30</v>
      </c>
      <c r="J15" s="1">
        <f>AVERAGE(F2:F11)</f>
        <v>3.5</v>
      </c>
    </row>
    <row r="17" spans="8:11" x14ac:dyDescent="0.25">
      <c r="H17" s="5">
        <v>8</v>
      </c>
      <c r="I17" s="1" t="s">
        <v>31</v>
      </c>
      <c r="J17" s="1">
        <f>AVERAGEIF(C2:C11,"East",E2:E11)</f>
        <v>23000</v>
      </c>
      <c r="K17" s="1">
        <f>AVERAGEIF(C2:C11,"East",F2:F11)</f>
        <v>3</v>
      </c>
    </row>
    <row r="19" spans="8:11" x14ac:dyDescent="0.25">
      <c r="H19" s="5">
        <v>9</v>
      </c>
      <c r="I19" s="1" t="s">
        <v>32</v>
      </c>
      <c r="J19" s="1">
        <f>COUNT(F2:F11)</f>
        <v>10</v>
      </c>
    </row>
    <row r="21" spans="8:11" x14ac:dyDescent="0.25">
      <c r="H21" s="5">
        <v>10</v>
      </c>
      <c r="I21" s="1" t="s">
        <v>33</v>
      </c>
      <c r="J21" s="1">
        <f>COUNTIFS(C2:C11,"West",E2:E11,"&gt;30000")</f>
        <v>2</v>
      </c>
    </row>
    <row r="23" spans="8:11" x14ac:dyDescent="0.25">
      <c r="I23" s="1" t="s">
        <v>34</v>
      </c>
    </row>
  </sheetData>
  <mergeCells count="1">
    <mergeCell ref="H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2026-04-03T13:12:05Z</dcterms:created>
  <dcterms:modified xsi:type="dcterms:W3CDTF">2026-04-03T14:20:37Z</dcterms:modified>
</cp:coreProperties>
</file>