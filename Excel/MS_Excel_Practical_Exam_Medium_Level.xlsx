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955AE12-E3F2-4EAB-A9C8-A74BAC5E662E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heet" sheetId="6" r:id="rId6"/>
  </sheets>
  <definedNames>
    <definedName name="_xlnm._FilterDatabase" localSheetId="5" hidden="1">AnswerSheet!$A$225:$E$231</definedName>
    <definedName name="_xlcn.WorksheetConnection_MS_Excel_Practical_Exam_Medium_Level.xlsxTable11" hidden="1">Table1[]</definedName>
    <definedName name="_xlcn.WorksheetConnection_MS_Excel_Practical_Exam_Medium_Level.xlsxTable21" hidden="1">Table2[]</definedName>
    <definedName name="_xlcn.WorksheetConnection_MS_Excel_Practical_Exam_Medium_Level.xlsxTable31" hidden="1">Table3[]</definedName>
    <definedName name="_xlcn.WorksheetConnection_MS_Excel_Practical_Exam_Medium_Level.xlsxTable41" hidden="1">Table4[]</definedName>
    <definedName name="_xlcn.WorksheetConnection_MS_Excel_Practical_Exam_Medium_Level.xlsxTable61" hidden="1">Table6[]</definedName>
  </definedNames>
  <calcPr calcId="191029"/>
  <pivotCaches>
    <pivotCache cacheId="59" r:id="rId7"/>
    <pivotCache cacheId="63" r:id="rId8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MS_Excel_Practical_Exam_Medium_Level.xlsx!Table2"/>
          <x15:modelTable id="Table1" name="Table1" connection="WorksheetConnection_MS_Excel_Practical_Exam_Medium_Level.xlsx!Table1"/>
          <x15:modelTable id="Table6" name="Table6" connection="WorksheetConnection_MS_Excel_Practical_Exam_Medium_Level.xlsx!Table6"/>
          <x15:modelTable id="Table4" name="Table4" connection="WorksheetConnection_MS_Excel_Practical_Exam_Medium_Level.xlsx!Table4"/>
          <x15:modelTable id="Table3" name="Table3" connection="WorksheetConnection_MS_Excel_Practical_Exam_Medium_Level.xlsx!Table3"/>
        </x15:modelTables>
        <x15:modelRelationships>
          <x15:modelRelationship fromTable="Table2" fromColumn="Product" toTable="Table1" toColumn="Product"/>
          <x15:modelRelationship fromTable="Table6" fromColumn="Order_ID" toTable="Table2" toColumn="Order_ID"/>
          <x15:modelRelationship fromTable="Table4" fromColumn="Order_ID" toTable="Table2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1" i="6" l="1"/>
  <c r="C242" i="6"/>
  <c r="C243" i="6"/>
  <c r="C244" i="6"/>
  <c r="C245" i="6"/>
  <c r="C240" i="6"/>
  <c r="C235" i="6"/>
  <c r="B207" i="6"/>
  <c r="B208" i="6"/>
  <c r="B209" i="6"/>
  <c r="B210" i="6"/>
  <c r="B211" i="6"/>
  <c r="B206" i="6"/>
  <c r="A198" i="6"/>
  <c r="A199" i="6"/>
  <c r="A200" i="6"/>
  <c r="A201" i="6"/>
  <c r="A197" i="6"/>
  <c r="C189" i="6"/>
  <c r="C190" i="6"/>
  <c r="C191" i="6"/>
  <c r="C192" i="6"/>
  <c r="C188" i="6"/>
  <c r="E190" i="6" s="1"/>
  <c r="C180" i="6"/>
  <c r="C181" i="6"/>
  <c r="C182" i="6"/>
  <c r="C183" i="6"/>
  <c r="C179" i="6"/>
  <c r="C110" i="6"/>
  <c r="C111" i="6"/>
  <c r="C112" i="6"/>
  <c r="C113" i="6"/>
  <c r="C109" i="6"/>
  <c r="C104" i="6"/>
  <c r="C92" i="6"/>
  <c r="C100" i="6" s="1"/>
  <c r="C93" i="6"/>
  <c r="C94" i="6"/>
  <c r="C95" i="6"/>
  <c r="C96" i="6"/>
  <c r="B50" i="6"/>
  <c r="B51" i="6"/>
  <c r="B52" i="6"/>
  <c r="B53" i="6"/>
  <c r="B54" i="6"/>
  <c r="B49" i="6"/>
  <c r="C36" i="6"/>
  <c r="B27" i="6"/>
  <c r="B17" i="6"/>
  <c r="B18" i="6"/>
  <c r="B13" i="6"/>
  <c r="B7" i="6"/>
  <c r="B8" i="6"/>
  <c r="B28" i="6" s="1"/>
  <c r="B4" i="6"/>
  <c r="B5" i="6"/>
  <c r="B6" i="6"/>
  <c r="B16" i="6" s="1"/>
  <c r="B26" i="6" s="1"/>
  <c r="B44" i="6" s="1"/>
  <c r="B3" i="6"/>
  <c r="B23" i="6" s="1"/>
  <c r="J32" i="5"/>
  <c r="B41" i="6" l="1"/>
  <c r="B14" i="6"/>
  <c r="B24" i="6" s="1"/>
  <c r="B15" i="6"/>
  <c r="B25" i="6" s="1"/>
  <c r="B43" i="6" s="1"/>
  <c r="B42" i="6" l="1"/>
  <c r="C58" i="6"/>
  <c r="C59" i="6"/>
  <c r="C3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C2E60-B2BF-4B61-A1D6-C89D153A9F5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3BADEA5-658A-4120-B6F4-611E7CF009C7}" name="WorksheetConnection_MS_Excel_Practical_Exam_Medium_Level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S_Excel_Practical_Exam_Medium_Level.xlsxTable11"/>
        </x15:connection>
      </ext>
    </extLst>
  </connection>
  <connection id="3" xr16:uid="{3C8EDCC2-1993-4684-B4CC-F66030546958}" name="WorksheetConnection_MS_Excel_Practical_Exam_Medium_Lev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MS_Excel_Practical_Exam_Medium_Level.xlsxTable21"/>
        </x15:connection>
      </ext>
    </extLst>
  </connection>
  <connection id="4" xr16:uid="{DD133139-700F-4523-8702-30F2F0C88F37}" name="WorksheetConnection_MS_Excel_Practical_Exam_Medium_Leve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MS_Excel_Practical_Exam_Medium_Level.xlsxTable31"/>
        </x15:connection>
      </ext>
    </extLst>
  </connection>
  <connection id="5" xr16:uid="{10FC4B2A-700A-4DFF-ACBD-EC668B2F94CC}" name="WorksheetConnection_MS_Excel_Practical_Exam_Medium_Level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MS_Excel_Practical_Exam_Medium_Level.xlsxTable41"/>
        </x15:connection>
      </ext>
    </extLst>
  </connection>
  <connection id="6" xr16:uid="{2C071142-62DF-4B43-A6D6-779450DE896F}" name="WorksheetConnection_MS_Excel_Practical_Exam_Medium_Level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MS_Excel_Practical_Exam_Medium_Level.xlsxTable61"/>
        </x15:connection>
      </ext>
    </extLst>
  </connection>
</connections>
</file>

<file path=xl/sharedStrings.xml><?xml version="1.0" encoding="utf-8"?>
<sst xmlns="http://schemas.openxmlformats.org/spreadsheetml/2006/main" count="288" uniqueCount="100">
  <si>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</si>
  <si>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</si>
  <si>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</si>
  <si>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</si>
  <si>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</si>
  <si>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</si>
  <si>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</si>
  <si>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</si>
  <si>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</si>
  <si>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</si>
  <si>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</si>
  <si>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</si>
  <si>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</si>
  <si>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</si>
  <si>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</si>
  <si>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</si>
  <si>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</si>
  <si>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</si>
  <si>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</si>
  <si>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</si>
  <si>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</si>
  <si>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</si>
  <si>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</si>
  <si>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</si>
  <si>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</si>
  <si>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</si>
  <si>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</si>
  <si>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</si>
  <si>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</si>
  <si>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</si>
  <si>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</si>
  <si>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</si>
  <si>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</si>
  <si>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</si>
  <si>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</si>
  <si>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</si>
  <si>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</si>
  <si>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</si>
  <si>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</si>
  <si>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</si>
  <si>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</si>
  <si>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</si>
  <si>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</si>
  <si>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</si>
  <si>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</si>
  <si>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</si>
  <si>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</si>
  <si>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</si>
  <si>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</si>
  <si>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</si>
  <si>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</si>
  <si>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</si>
  <si>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</si>
  <si>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</si>
  <si>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</si>
  <si>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</si>
  <si>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</si>
  <si>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</si>
  <si>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</si>
  <si>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</si>
  <si>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</si>
  <si>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</si>
  <si>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</si>
  <si>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</si>
  <si>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</si>
  <si>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</si>
  <si>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</si>
  <si>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</si>
  <si>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</si>
  <si>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</si>
  <si>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</si>
  <si>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</si>
  <si>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</si>
  <si>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</si>
  <si>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GST Amount</t>
  </si>
  <si>
    <t xml:space="preserve">Final Amount </t>
  </si>
  <si>
    <t xml:space="preserve">Grand Total </t>
  </si>
  <si>
    <t>Total number of orders</t>
  </si>
  <si>
    <t xml:space="preserve">Region </t>
  </si>
  <si>
    <t xml:space="preserve">North </t>
  </si>
  <si>
    <t xml:space="preserve">South </t>
  </si>
  <si>
    <t>Is Quality High or Low</t>
  </si>
  <si>
    <t>Maximum</t>
  </si>
  <si>
    <t>Minimum</t>
  </si>
  <si>
    <t>Average Marks</t>
  </si>
  <si>
    <t>Topper</t>
  </si>
  <si>
    <t xml:space="preserve">Number of students </t>
  </si>
  <si>
    <t>Is Eligible?</t>
  </si>
  <si>
    <t>Row Labels</t>
  </si>
  <si>
    <t>Grand Total</t>
  </si>
  <si>
    <t>Sum of Total Sales</t>
  </si>
  <si>
    <t>Sum of Maths</t>
  </si>
  <si>
    <t>Sum of Statistics</t>
  </si>
  <si>
    <t>Sum of Excel</t>
  </si>
  <si>
    <t>Median</t>
  </si>
  <si>
    <t>Standard Deviation</t>
  </si>
  <si>
    <t>Total Marks</t>
  </si>
  <si>
    <t>ID with Name</t>
  </si>
  <si>
    <t>Total Order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</si>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</sst>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4" fillId="6" borderId="9" xfId="0" applyFont="1" applyFill="1" applyBorder="1"/>
    <xf numFmtId="0" fontId="5" fillId="7" borderId="10" xfId="0" applyFont="1" applyFill="1" applyBorder="1"/>
    <xf numFmtId="0" fontId="5" fillId="8" borderId="10" xfId="0" applyFont="1" applyFill="1" applyBorder="1"/>
    <xf numFmtId="0" fontId="5" fillId="8" borderId="11" xfId="0" applyFont="1" applyFill="1" applyBorder="1"/>
    <xf numFmtId="0" fontId="0" fillId="0" borderId="0" xfId="1" applyNumberFormat="1" applyFont="1"/>
    <xf numFmtId="0" fontId="0" fillId="5" borderId="0" xfId="0" applyFill="1" applyAlignment="1">
      <alignment horizontal="center"/>
    </xf>
    <xf numFmtId="0" fontId="3" fillId="9" borderId="0" xfId="0" applyFont="1" applyFill="1"/>
    <xf numFmtId="0" fontId="0" fillId="10" borderId="0" xfId="0" applyFill="1" applyAlignment="1">
      <alignment horizontal="center"/>
    </xf>
    <xf numFmtId="172" fontId="0" fillId="3" borderId="6" xfId="0" applyNumberFormat="1" applyFont="1" applyFill="1" applyBorder="1"/>
    <xf numFmtId="0" fontId="4" fillId="6" borderId="12" xfId="0" applyFont="1" applyFill="1" applyBorder="1"/>
    <xf numFmtId="0" fontId="5" fillId="7" borderId="13" xfId="0" applyFont="1" applyFill="1" applyBorder="1"/>
    <xf numFmtId="0" fontId="5" fillId="8" borderId="13" xfId="0" applyFont="1" applyFill="1" applyBorder="1"/>
    <xf numFmtId="0" fontId="5" fillId="8" borderId="14" xfId="0" applyFont="1" applyFill="1" applyBorder="1"/>
    <xf numFmtId="0" fontId="5" fillId="7" borderId="11" xfId="0" applyFont="1" applyFill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11" borderId="0" xfId="0" applyFill="1"/>
    <xf numFmtId="2" fontId="3" fillId="9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[MS_Excel_Practical_Exam_Medium_Level.xlsx]AnswerSheet!PivotTable1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AnswerSheet!$B$117</c:f>
              <c:strCache>
                <c:ptCount val="1"/>
                <c:pt idx="0">
                  <c:v>Sum of Maths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AnswerSheet!$A$118:$A$123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AnswerSheet!$B$118:$B$123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BF-4DA1-9199-88D6B560A362}"/>
            </c:ext>
          </c:extLst>
        </c:ser>
        <c:ser>
          <c:idx val="1"/>
          <c:order val="1"/>
          <c:tx>
            <c:strRef>
              <c:f>AnswerSheet!$C$117</c:f>
              <c:strCache>
                <c:ptCount val="1"/>
                <c:pt idx="0">
                  <c:v>Sum of Statistics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AnswerSheet!$A$118:$A$123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AnswerSheet!$C$118:$C$123</c:f>
              <c:numCache>
                <c:formatCode>General</c:formatCode>
                <c:ptCount val="5"/>
                <c:pt idx="0">
                  <c:v>70</c:v>
                </c:pt>
                <c:pt idx="1">
                  <c:v>89</c:v>
                </c:pt>
                <c:pt idx="2">
                  <c:v>82</c:v>
                </c:pt>
                <c:pt idx="3">
                  <c:v>91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BF-4DA1-9199-88D6B560A362}"/>
            </c:ext>
          </c:extLst>
        </c:ser>
        <c:ser>
          <c:idx val="2"/>
          <c:order val="2"/>
          <c:tx>
            <c:strRef>
              <c:f>AnswerSheet!$D$117</c:f>
              <c:strCache>
                <c:ptCount val="1"/>
                <c:pt idx="0">
                  <c:v>Sum of Excel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AnswerSheet!$A$118:$A$123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AnswerSheet!$D$118:$D$123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BF-4DA1-9199-88D6B560A3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[MS_Excel_Practical_Exam_Medium_Level.xlsx]AnswerSheet!PivotTable1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</a:t>
            </a:r>
            <a:r>
              <a:rPr lang="en-US" baseline="0"/>
              <a:t> of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AnswerSheet!$B$117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AnswerSheet!$A$118:$A$123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AnswerSheet!$B$118:$B$123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38-4833-90B6-E1AE0430F545}"/>
            </c:ext>
          </c:extLst>
        </c:ser>
        <c:ser>
          <c:idx val="1"/>
          <c:order val="1"/>
          <c:tx>
            <c:strRef>
              <c:f>AnswerSheet!$C$117</c:f>
              <c:strCache>
                <c:ptCount val="1"/>
                <c:pt idx="0">
                  <c:v>Sum of Statistics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AnswerSheet!$A$118:$A$123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AnswerSheet!$C$118:$C$123</c:f>
              <c:numCache>
                <c:formatCode>General</c:formatCode>
                <c:ptCount val="5"/>
                <c:pt idx="0">
                  <c:v>70</c:v>
                </c:pt>
                <c:pt idx="1">
                  <c:v>89</c:v>
                </c:pt>
                <c:pt idx="2">
                  <c:v>82</c:v>
                </c:pt>
                <c:pt idx="3">
                  <c:v>91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8-4833-90B6-E1AE0430F545}"/>
            </c:ext>
          </c:extLst>
        </c:ser>
        <c:ser>
          <c:idx val="2"/>
          <c:order val="2"/>
          <c:tx>
            <c:strRef>
              <c:f>AnswerSheet!$D$117</c:f>
              <c:strCache>
                <c:ptCount val="1"/>
                <c:pt idx="0">
                  <c:v>Sum of 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AnswerSheet!$A$118:$A$123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AnswerSheet!$D$118:$D$123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8-4833-90B6-E1AE0430F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9339295"/>
        <c:axId val="1589340735"/>
      </c:barChart>
      <c:catAx>
        <c:axId val="15893392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40735"/>
        <c:auto val="1"/>
        <c:lblAlgn val="ctr"/>
        <c:lblOffset val="100"/>
        <c:noMultiLvlLbl val="0"/>
      </c:catAx>
      <c:valAx>
        <c:axId val="15893407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39295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133</xdr:row>
      <xdr:rowOff>57150</xdr:rowOff>
    </xdr:from>
    <xdr:to>
      <xdr:col>4</xdr:col>
      <xdr:colOff>579120</xdr:colOff>
      <xdr:row>146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5924B-E911-2DB9-672B-12AC440A1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150</xdr:row>
      <xdr:rowOff>45720</xdr:rowOff>
    </xdr:from>
    <xdr:to>
      <xdr:col>5</xdr:col>
      <xdr:colOff>594360</xdr:colOff>
      <xdr:row>173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D5FC61-D6F5-475C-8F30-A7DAD4330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ushree Madhwani" refreshedDate="46134.802438194441" createdVersion="5" refreshedVersion="8" minRefreshableVersion="3" recordCount="0" supportSubquery="1" supportAdvancedDrill="1" xr:uid="{6C6B1A1E-0AF7-496F-B248-75ADF9FF31F0}">
  <cacheSource type="external" connectionId="1"/>
  <cacheFields count="2">
    <cacheField name="[Measures].[Sum of Total Sales]" caption="Sum of Total Sales" numFmtId="0" hierarchy="27" level="32767"/>
    <cacheField name="[Table2].[Region].[Region]" caption="Region" numFmtId="0" hierarchy="4" level="1">
      <sharedItems count="4">
        <s v="East"/>
        <s v="North"/>
        <s v="South"/>
        <s v="West"/>
      </sharedItems>
    </cacheField>
  </cacheFields>
  <cacheHierarchies count="31"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GST_%]" caption="GST_%" attribute="1" defaultMemberUniqueName="[Table1].[GST_%].[All]" allUniqueName="[Table1].[GST_%].[All]" dimensionUniqueName="[Table1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2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Salesperson]" caption="Salesperson" attribute="1" defaultMemberUniqueName="[Table2].[Salesperson].[All]" allUniqueName="[Table2].[Salesperson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_Price]" caption="Unit_Price" attribute="1" defaultMemberUniqueName="[Table2].[Unit_Price].[All]" allUniqueName="[Table2].[Unit_Price].[All]" dimensionUniqueName="[Table2]" displayFolder="" count="0" memberValueDatatype="20" unbalanced="0"/>
    <cacheHierarchy uniqueName="[Table2].[Sales_Date]" caption="Sales_Date" attribute="1" defaultMemberUniqueName="[Table2].[Sales_Date].[All]" allUniqueName="[Table2].[Sales_Date].[All]" dimensionUniqueName="[Table2]" displayFolder="" count="0" memberValueDatatype="130" unbalanced="0"/>
    <cacheHierarchy uniqueName="[Table3].[Student_ID]" caption="Student_ID" attribute="1" defaultMemberUniqueName="[Table3].[Student_ID].[All]" allUniqueName="[Table3].[Student_ID].[All]" dimensionUniqueName="[Table3]" displayFolder="" count="0" memberValueDatatype="20" unbalanced="0"/>
    <cacheHierarchy uniqueName="[Table3].[Name]" caption="Name" attribute="1" defaultMemberUniqueName="[Table3].[Name].[All]" allUniqueName="[Table3].[Name].[All]" dimensionUniqueName="[Table3]" displayFolder="" count="0" memberValueDatatype="130" unbalanced="0"/>
    <cacheHierarchy uniqueName="[Table3].[Maths]" caption="Maths" attribute="1" defaultMemberUniqueName="[Table3].[Maths].[All]" allUniqueName="[Table3].[Maths].[All]" dimensionUniqueName="[Table3]" displayFolder="" count="0" memberValueDatatype="20" unbalanced="0"/>
    <cacheHierarchy uniqueName="[Table3].[Statistics]" caption="Statistics" attribute="1" defaultMemberUniqueName="[Table3].[Statistics].[All]" allUniqueName="[Table3].[Statistics].[All]" dimensionUniqueName="[Table3]" displayFolder="" count="0" memberValueDatatype="20" unbalanced="0"/>
    <cacheHierarchy uniqueName="[Table3].[Excel]" caption="Excel" attribute="1" defaultMemberUniqueName="[Table3].[Excel].[All]" allUniqueName="[Table3].[Excel].[All]" dimensionUniqueName="[Table3]" displayFolder="" count="0" memberValueDatatype="20" unbalanced="0"/>
    <cacheHierarchy uniqueName="[Table3].[Attendance_%]" caption="Attendance_%" attribute="1" defaultMemberUniqueName="[Table3].[Attendance_%].[All]" allUniqueName="[Table3].[Attendance_%].[All]" dimensionUniqueName="[Table3]" displayFolder="" count="0" memberValueDatatype="20" unbalanced="0"/>
    <cacheHierarchy uniqueName="[Table4].[Order_ID]" caption="Order_ID" attribute="1" defaultMemberUniqueName="[Table4].[Order_ID].[All]" allUniqueName="[Table4].[Order_ID].[All]" dimensionUniqueName="[Table4]" displayFolder="" count="0" memberValueDatatype="20" unbalanced="0"/>
    <cacheHierarchy uniqueName="[Table4].[Total Sales]" caption="Total Sales" attribute="1" defaultMemberUniqueName="[Table4].[Total Sales].[All]" allUniqueName="[Table4].[Total Sales].[All]" dimensionUniqueName="[Table4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Final Amount]" caption="Final Amount" attribute="1" defaultMemberUniqueName="[Table6].[Final Amount].[All]" allUniqueName="[Table6].[Final Amount].[All]" dimensionUniqueName="[Table6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4]" caption="__XL_Count Table4" measure="1" displayFolder="" measureGroup="Table4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Final Amount]" caption="Sum of Final Amount" measure="1" displayFolder="" measureGroup="Table6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ales]" caption="Sum of Total Sales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ths]" caption="Sum of Maths" measure="1" displayFolder="" measureGroup="Tabl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tistics]" caption="Sum of Statistics" measure="1" displayFolder="" measureGroup="Table3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Excel]" caption="Sum of Excel" measure="1" displayFolder="" measureGroup="Table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6" uniqueName="[Table6]" caption="Table6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6" caption="Table6"/>
  </measureGroups>
  <maps count="10">
    <map measureGroup="0" dimension="1"/>
    <map measureGroup="1" dimension="1"/>
    <map measureGroup="1" dimension="2"/>
    <map measureGroup="2" dimension="3"/>
    <map measureGroup="3" dimension="1"/>
    <map measureGroup="3" dimension="2"/>
    <map measureGroup="3" dimension="4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ushree Madhwani" refreshedDate="46134.805686342595" createdVersion="5" refreshedVersion="8" minRefreshableVersion="3" recordCount="0" supportSubquery="1" supportAdvancedDrill="1" xr:uid="{9C07F11F-8AEE-41AE-B327-A0922CC64ACD}">
  <cacheSource type="external" connectionId="1"/>
  <cacheFields count="4">
    <cacheField name="[Table3].[Name].[Name]" caption="Name" numFmtId="0" hierarchy="11" level="1">
      <sharedItems count="5">
        <s v="Arjun"/>
        <s v="Pooja"/>
        <s v="Rahul"/>
        <s v="Sneha"/>
        <s v="Vikas"/>
      </sharedItems>
    </cacheField>
    <cacheField name="[Measures].[Sum of Maths]" caption="Sum of Maths" numFmtId="0" hierarchy="28" level="32767"/>
    <cacheField name="[Measures].[Sum of Statistics]" caption="Sum of Statistics" numFmtId="0" hierarchy="29" level="32767"/>
    <cacheField name="[Measures].[Sum of Excel]" caption="Sum of Excel" numFmtId="0" hierarchy="30" level="32767"/>
  </cacheFields>
  <cacheHierarchies count="31"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GST_%]" caption="GST_%" attribute="1" defaultMemberUniqueName="[Table1].[GST_%].[All]" allUniqueName="[Table1].[GST_%].[All]" dimensionUniqueName="[Table1]" displayFolder="" count="0" memberValueDatatype="20" unbalanced="0"/>
    <cacheHierarchy uniqueName="[Table2].[Order_ID]" caption="Order_ID" attribute="1" defaultMemberUniqueName="[Table2].[Order_ID].[All]" allUniqueName="[Table2].[Order_ID].[All]" dimensionUniqueName="[Table2]" displayFolder="" count="0" memberValueDatatype="2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Salesperson]" caption="Salesperson" attribute="1" defaultMemberUniqueName="[Table2].[Salesperson].[All]" allUniqueName="[Table2].[Salesperson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Unit_Price]" caption="Unit_Price" attribute="1" defaultMemberUniqueName="[Table2].[Unit_Price].[All]" allUniqueName="[Table2].[Unit_Price].[All]" dimensionUniqueName="[Table2]" displayFolder="" count="0" memberValueDatatype="20" unbalanced="0"/>
    <cacheHierarchy uniqueName="[Table2].[Sales_Date]" caption="Sales_Date" attribute="1" defaultMemberUniqueName="[Table2].[Sales_Date].[All]" allUniqueName="[Table2].[Sales_Date].[All]" dimensionUniqueName="[Table2]" displayFolder="" count="0" memberValueDatatype="130" unbalanced="0"/>
    <cacheHierarchy uniqueName="[Table3].[Student_ID]" caption="Student_ID" attribute="1" defaultMemberUniqueName="[Table3].[Student_ID].[All]" allUniqueName="[Table3].[Student_ID].[All]" dimensionUniqueName="[Table3]" displayFolder="" count="0" memberValueDatatype="20" unbalanced="0"/>
    <cacheHierarchy uniqueName="[Table3].[Name]" caption="Name" attribute="1" defaultMemberUniqueName="[Table3].[Name].[All]" allUniqueName="[Table3].[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Maths]" caption="Maths" attribute="1" defaultMemberUniqueName="[Table3].[Maths].[All]" allUniqueName="[Table3].[Maths].[All]" dimensionUniqueName="[Table3]" displayFolder="" count="0" memberValueDatatype="20" unbalanced="0"/>
    <cacheHierarchy uniqueName="[Table3].[Statistics]" caption="Statistics" attribute="1" defaultMemberUniqueName="[Table3].[Statistics].[All]" allUniqueName="[Table3].[Statistics].[All]" dimensionUniqueName="[Table3]" displayFolder="" count="0" memberValueDatatype="20" unbalanced="0"/>
    <cacheHierarchy uniqueName="[Table3].[Excel]" caption="Excel" attribute="1" defaultMemberUniqueName="[Table3].[Excel].[All]" allUniqueName="[Table3].[Excel].[All]" dimensionUniqueName="[Table3]" displayFolder="" count="0" memberValueDatatype="20" unbalanced="0"/>
    <cacheHierarchy uniqueName="[Table3].[Attendance_%]" caption="Attendance_%" attribute="1" defaultMemberUniqueName="[Table3].[Attendance_%].[All]" allUniqueName="[Table3].[Attendance_%].[All]" dimensionUniqueName="[Table3]" displayFolder="" count="0" memberValueDatatype="20" unbalanced="0"/>
    <cacheHierarchy uniqueName="[Table4].[Order_ID]" caption="Order_ID" attribute="1" defaultMemberUniqueName="[Table4].[Order_ID].[All]" allUniqueName="[Table4].[Order_ID].[All]" dimensionUniqueName="[Table4]" displayFolder="" count="0" memberValueDatatype="20" unbalanced="0"/>
    <cacheHierarchy uniqueName="[Table4].[Total Sales]" caption="Total Sales" attribute="1" defaultMemberUniqueName="[Table4].[Total Sales].[All]" allUniqueName="[Table4].[Total Sales].[All]" dimensionUniqueName="[Table4]" displayFolder="" count="0" memberValueDatatype="20" unbalanced="0"/>
    <cacheHierarchy uniqueName="[Table6].[Order_ID]" caption="Order_ID" attribute="1" defaultMemberUniqueName="[Table6].[Order_ID].[All]" allUniqueName="[Table6].[Order_ID].[All]" dimensionUniqueName="[Table6]" displayFolder="" count="0" memberValueDatatype="20" unbalanced="0"/>
    <cacheHierarchy uniqueName="[Table6].[Final Amount]" caption="Final Amount" attribute="1" defaultMemberUniqueName="[Table6].[Final Amount].[All]" allUniqueName="[Table6].[Final Amount].[All]" dimensionUniqueName="[Table6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4]" caption="__XL_Count Table4" measure="1" displayFolder="" measureGroup="Table4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Final Amount]" caption="Sum of Final Amount" measure="1" displayFolder="" measureGroup="Table6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ales]" caption="Sum of Total Sales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ths]" caption="Sum of Math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tistics]" caption="Sum of Statistics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Excel]" caption="Sum of Excel" measure="1" displayFolder="" measureGroup="Table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  <dimension name="Table6" uniqueName="[Table6]" caption="Table6"/>
  </dimensions>
  <measureGroups count="5">
    <measureGroup name="Table1" caption="Table1"/>
    <measureGroup name="Table2" caption="Table2"/>
    <measureGroup name="Table3" caption="Table3"/>
    <measureGroup name="Table4" caption="Table4"/>
    <measureGroup name="Table6" caption="Table6"/>
  </measureGroups>
  <maps count="10">
    <map measureGroup="0" dimension="1"/>
    <map measureGroup="1" dimension="1"/>
    <map measureGroup="1" dimension="2"/>
    <map measureGroup="2" dimension="3"/>
    <map measureGroup="3" dimension="1"/>
    <map measureGroup="3" dimension="2"/>
    <map measureGroup="3" dimension="4"/>
    <map measureGroup="4" dimension="1"/>
    <map measureGroup="4" dimension="2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A0AF7-43AC-4A40-9CA9-188ADB58E433}" name="PivotTable2" cacheId="59" applyNumberFormats="0" applyBorderFormats="0" applyFontFormats="0" applyPatternFormats="0" applyAlignmentFormats="0" applyWidthHeightFormats="1" dataCaption="Values" tag="d3bbb2de-736d-4c52-b8f3-8cbf33bc2905" updatedVersion="8" minRefreshableVersion="3" useAutoFormatting="1" itemPrintTitles="1" createdVersion="5" indent="0" outline="1" outlineData="1" multipleFieldFilters="0">
  <location ref="A125:B13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0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6]"/>
        <x15:activeTabTopLevelEntity name="[Table4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F3A46-DE6C-485A-B1BC-90FFCA9BA54C}" name="PivotTable1" cacheId="63" applyNumberFormats="0" applyBorderFormats="0" applyFontFormats="0" applyPatternFormats="0" applyAlignmentFormats="0" applyWidthHeightFormats="1" dataCaption="Values" tag="39ba546d-2b0a-405e-80f8-d48c7249f441" updatedVersion="8" minRefreshableVersion="3" useAutoFormatting="1" subtotalHiddenItems="1" itemPrintTitles="1" createdVersion="5" indent="0" outline="1" outlineData="1" multipleFieldFilters="0" chartFormat="12">
  <location ref="A117:D123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s" fld="1" baseField="0" baseItem="0"/>
    <dataField name="Sum of Statistics" fld="2" baseField="0" baseItem="0"/>
    <dataField name="Sum of Excel" fld="3" baseField="0" baseItem="0"/>
  </dataFields>
  <chartFormats count="6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6]"/>
        <x15:activeTabTopLevelEntity name="[Table4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B4A11-6EDB-4C12-B388-803AF8BF3B7D}" name="Table2" displayName="Table2" ref="A1:G7" totalsRowShown="0">
  <autoFilter ref="A1:G7" xr:uid="{034B4A11-6EDB-4C12-B388-803AF8BF3B7D}"/>
  <tableColumns count="7">
    <tableColumn id="1" xr3:uid="{21A3F7CB-D85B-4B4D-A7F4-B502210DA889}" name="Order_ID"/>
    <tableColumn id="2" xr3:uid="{C208F07C-75A7-4FB0-B3F4-E1B69C4316BE}" name="Region"/>
    <tableColumn id="3" xr3:uid="{5DB3BBCF-D7C8-4489-B092-AAC0615051CA}" name="Salesperson"/>
    <tableColumn id="4" xr3:uid="{A51F5608-B34C-48AA-8837-3E5D0AA38B22}" name="Product"/>
    <tableColumn id="5" xr3:uid="{F3909CC8-EF78-4200-BCA0-3173C4422E0C}" name="Quantity"/>
    <tableColumn id="6" xr3:uid="{8ABDC2AB-071F-453B-ACE5-BB0CE3847AE6}" name="Unit_Price"/>
    <tableColumn id="7" xr3:uid="{E69FD38F-11F9-4D66-867B-081C86C07AD2}" name="Sales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6A6BE-11AE-4877-8E8E-E6F42AA6EDC0}" name="Table1" displayName="Table1" ref="A1:C4" totalsRowShown="0">
  <autoFilter ref="A1:C4" xr:uid="{50D6A6BE-11AE-4877-8E8E-E6F42AA6EDC0}"/>
  <tableColumns count="3">
    <tableColumn id="1" xr3:uid="{3314FABE-F22F-48E4-ADA7-8EA263705444}" name="Product"/>
    <tableColumn id="2" xr3:uid="{2A649FD2-93F1-4AD1-894B-803A2FFB65E1}" name="Category"/>
    <tableColumn id="3" xr3:uid="{D4E2F3F0-C744-4560-B689-AAD61923BB3D}" name="GST_%" dataDxfId="20" dataCellStyle="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DE00BA-D0ED-4798-8CEB-6AE66635BEB2}" name="Table3" displayName="Table3" ref="A1:F6" totalsRowShown="0">
  <autoFilter ref="A1:F6" xr:uid="{7CDE00BA-D0ED-4798-8CEB-6AE66635BEB2}"/>
  <tableColumns count="6">
    <tableColumn id="1" xr3:uid="{4721AF2A-152B-4C8D-91FB-024045110D5A}" name="Student_ID"/>
    <tableColumn id="2" xr3:uid="{922DD005-DAD8-431B-9739-FB4B88BB312F}" name="Name"/>
    <tableColumn id="3" xr3:uid="{4C3678DC-D030-4825-ACCF-45470034211A}" name="Maths"/>
    <tableColumn id="4" xr3:uid="{D3B45151-8BF8-45E4-AB05-5B891B244AD1}" name="Statistics"/>
    <tableColumn id="5" xr3:uid="{8C97B355-41B7-42BD-B278-8E582E084102}" name="Excel"/>
    <tableColumn id="6" xr3:uid="{7B4F2118-2D4F-409E-87B9-A4C1483F9EB0}" name="Attendance_%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621548-EF5A-48C9-B981-3930741A30BF}" name="Table4" displayName="Table4" ref="A2:B8" totalsRowShown="0">
  <autoFilter ref="A2:B8" xr:uid="{7D621548-EF5A-48C9-B981-3930741A30BF}"/>
  <tableColumns count="2">
    <tableColumn id="1" xr3:uid="{55CDA4B9-B8E0-475C-A94B-961B34384CD0}" name="Order_ID" dataDxfId="21"/>
    <tableColumn id="2" xr3:uid="{95E5CFE1-1160-4FAE-B907-2BEA73C091F4}" name="Total Sales">
      <calculatedColumnFormula>Sales_Data!E2*Sales_Data!F2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D4211C-5867-4BD5-AE39-42EA19BE1BDA}" name="Table5" displayName="Table5" ref="A12:B18" totalsRowShown="0">
  <autoFilter ref="A12:B18" xr:uid="{48D4211C-5867-4BD5-AE39-42EA19BE1BDA}"/>
  <tableColumns count="2">
    <tableColumn id="1" xr3:uid="{86456168-96DB-468D-8449-EFDCCA314B2D}" name="Order_ID" dataDxfId="19"/>
    <tableColumn id="2" xr3:uid="{299625CB-781B-4E24-886C-7F76208E79E5}" name="GST Amount">
      <calculatedColumnFormula>AnswerSheet!B3*VLOOKUP(VLOOKUP(AnswerSheet!A13,Table2[#All],4,),Table1[#All],3,0)/100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FF3E1A-2CF2-4ED1-AE52-B171D2D9CED0}" name="Table6" displayName="Table6" ref="A22:B28" totalsRowShown="0">
  <autoFilter ref="A22:B28" xr:uid="{2CFF3E1A-2CF2-4ED1-AE52-B171D2D9CED0}"/>
  <tableColumns count="2">
    <tableColumn id="1" xr3:uid="{7F7192B5-514C-4CFC-9C98-3073F22EAEEA}" name="Order_ID" dataDxfId="18"/>
    <tableColumn id="2" xr3:uid="{4030790A-4D7A-42D2-B10B-71E6114B7488}" name="Final Amount ">
      <calculatedColumnFormula>B3+B13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740F42-6667-4135-B2DA-6BCDCD3AA489}" name="Table7" displayName="Table7" ref="A40:B44" totalsRowShown="0">
  <autoFilter ref="A40:B44" xr:uid="{95740F42-6667-4135-B2DA-6BCDCD3AA489}"/>
  <tableColumns count="2">
    <tableColumn id="1" xr3:uid="{44BE8A78-6EC2-4E20-8B19-3E16DFE257EC}" name="Region "/>
    <tableColumn id="2" xr3:uid="{9AEF0971-3066-442A-A691-5520E4E1CE5C}" name="Total Sal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805FAA-7442-479E-A968-9FD10728B85F}" name="Table8" displayName="Table8" ref="A48:B54" totalsRowShown="0">
  <autoFilter ref="A48:B54" xr:uid="{3C805FAA-7442-479E-A968-9FD10728B85F}"/>
  <tableColumns count="2">
    <tableColumn id="1" xr3:uid="{996F0FE3-D277-4B6B-ADD9-F91E17991EB8}" name="Order_ID" dataDxfId="17"/>
    <tableColumn id="2" xr3:uid="{4D82ACD1-83C6-4C2D-89D0-20DC89F065E5}" name="Is Quality High or Low">
      <calculatedColumnFormula>IF(Sales_Data!E2&gt;3,"High","Low")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2036DD-3D3A-46DB-9D2A-8E45EA54BAD5}" name="Table10" displayName="Table10" ref="A91:C96" totalsRowShown="0">
  <autoFilter ref="A91:C96" xr:uid="{662036DD-3D3A-46DB-9D2A-8E45EA54BAD5}"/>
  <tableColumns count="3">
    <tableColumn id="1" xr3:uid="{33838A16-54A0-4692-858D-8CD49F1A3D77}" name="Student_ID" dataDxfId="16"/>
    <tableColumn id="2" xr3:uid="{A0BD3A9D-644D-4F1C-8DCE-94667846081C}" name="Name" dataDxfId="15"/>
    <tableColumn id="3" xr3:uid="{E22F0C17-9ACD-4401-BA09-BA73ACCD706B}" name="Average Marks" dataDxfId="14">
      <calculatedColumnFormula>AVERAGE(Student_Marks!C2:E2)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BE2424-DB34-4932-A350-217E2029EB77}" name="Table11" displayName="Table11" ref="A108:C113" totalsRowShown="0">
  <autoFilter ref="A108:C113" xr:uid="{E6BE2424-DB34-4932-A350-217E2029EB77}"/>
  <tableColumns count="3">
    <tableColumn id="1" xr3:uid="{F006E40D-9267-4460-B123-3176C76E2FED}" name="Student_ID" dataDxfId="13"/>
    <tableColumn id="2" xr3:uid="{74A416B3-EC1B-468E-A47C-0614B5389AD9}" name="Name" dataDxfId="12"/>
    <tableColumn id="3" xr3:uid="{203EF49C-0195-449C-BB28-0821BE4A6BAF}" name="Is Eligible?">
      <calculatedColumnFormula>IF(Student_Marks!F2 &gt;=85,"Eligible","Not Eligilbe")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0D0F2D-060A-4159-B8EB-3293D6055B2F}" name="Table12" displayName="Table12" ref="A178:C183" totalsRowShown="0">
  <autoFilter ref="A178:C183" xr:uid="{E20D0F2D-060A-4159-B8EB-3293D6055B2F}"/>
  <tableColumns count="3">
    <tableColumn id="1" xr3:uid="{E7C769F8-B066-409B-88B2-F67840176E07}" name="Student_ID" dataDxfId="11"/>
    <tableColumn id="2" xr3:uid="{B70FCD8A-1898-47A9-A605-B660A9E216F7}" name="Name" dataDxfId="10"/>
    <tableColumn id="3" xr3:uid="{27D13760-4DB8-4EF1-8B63-DE8931374C63}" name="Median">
      <calculatedColumnFormula>MEDIAN(Student_Marks!C2:E2)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9F56FC-1413-4583-ACF1-2326B7655E0D}" name="Table13" displayName="Table13" ref="A187:C192" totalsRowShown="0">
  <autoFilter ref="A187:C192" xr:uid="{C79F56FC-1413-4583-ACF1-2326B7655E0D}"/>
  <tableColumns count="3">
    <tableColumn id="1" xr3:uid="{9F54320D-1C83-44FA-8423-33931FDC6272}" name="Student_ID" dataDxfId="9"/>
    <tableColumn id="2" xr3:uid="{E61CC90B-A78A-4FEB-BCC6-7098D7C64712}" name="Name" dataDxfId="8"/>
    <tableColumn id="3" xr3:uid="{9EBC397D-FA91-4AC6-BBC5-DEA293D6DD26}" name="Total Marks">
      <calculatedColumnFormula>SUM(Student_Marks!C2:E2)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0151D5-D680-4A83-A8A5-9F7B612C5200}" name="Table15" displayName="Table15" ref="A196:A201" totalsRowShown="0">
  <autoFilter ref="A196:A201" xr:uid="{BB0151D5-D680-4A83-A8A5-9F7B612C5200}"/>
  <tableColumns count="1">
    <tableColumn id="1" xr3:uid="{0E3FD3CC-F40A-4A7B-979F-81B53EC7BC3A}" name="ID with Name">
      <calculatedColumnFormula>_xlfn.CONCAT(Student_Marks!A2," ",Student_Marks!B2)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4387710-2541-4AFC-B6C1-C9F0507B0029}" name="Table16" displayName="Table16" ref="A205:B211" totalsRowShown="0">
  <autoFilter ref="A205:B211" xr:uid="{F4387710-2541-4AFC-B6C1-C9F0507B0029}"/>
  <tableColumns count="2">
    <tableColumn id="1" xr3:uid="{BBDF1D31-A120-4CBE-BBE8-A68B50678663}" name="Order_ID" dataDxfId="7"/>
    <tableColumn id="2" xr3:uid="{21BE4734-3BFE-4D24-BDED-8CCC25CB7BDE}" name="Salesperson">
      <calculatedColumnFormula>LEFT(Sales_Data!C2,2)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744238-B73D-45A0-859C-43698C9852E6}" name="Table18" displayName="Table18" ref="A239:C245" totalsRowShown="0">
  <autoFilter ref="A239:C245" xr:uid="{52744238-B73D-45A0-859C-43698C9852E6}"/>
  <tableColumns count="3">
    <tableColumn id="1" xr3:uid="{263BD8D8-0BC3-453F-9F68-D4FCBC921AA0}" name="Order_ID" dataDxfId="1"/>
    <tableColumn id="2" xr3:uid="{2CEFD32F-A82E-4462-95FF-B6057F6A95C6}" name="Unit_Price" dataDxfId="0"/>
    <tableColumn id="3" xr3:uid="{323BFAB3-B8FB-49BD-AF58-C8378FA54A38}" name="Round">
      <calculatedColumnFormula>ROUND(B240,13)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B65092-E988-4522-8F18-827270264B95}" name="Table220" displayName="Table220" ref="A249:G256" totalsRowShown="0">
  <autoFilter ref="A249:G256" xr:uid="{A8B65092-E988-4522-8F18-827270264B95}"/>
  <tableColumns count="7">
    <tableColumn id="1" xr3:uid="{FE1E2AC3-7FC7-4E69-8E95-2F27E5D4FA3C}" name="Order_ID"/>
    <tableColumn id="2" xr3:uid="{AA6A16AA-B918-498A-9709-3BA66F3913D0}" name="Region"/>
    <tableColumn id="3" xr3:uid="{4C84B1EE-B469-4644-8960-C9D623B2B6BD}" name="Salesperson"/>
    <tableColumn id="4" xr3:uid="{FBF25C6B-51BC-44DE-9AF9-9B0A778047E6}" name="Product"/>
    <tableColumn id="5" xr3:uid="{C0D0B642-E743-4DA2-9458-5FECA635E1C1}" name="Quantity"/>
    <tableColumn id="6" xr3:uid="{052B8AE7-0A57-4F9C-86DA-A6F9641BC941}" name="Unit_Price"/>
    <tableColumn id="7" xr3:uid="{05BBA93D-5162-4DE0-A320-AF37FE55BDC1}" name="Sales_Dat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F9A8C6-5870-4C7C-955D-723EAE4DF79E}" name="Table22021" displayName="Table22021" ref="I249:O255" totalsRowShown="0">
  <autoFilter ref="I249:O255" xr:uid="{FCF9A8C6-5870-4C7C-955D-723EAE4DF79E}"/>
  <tableColumns count="7">
    <tableColumn id="1" xr3:uid="{DB0CED60-9022-48BD-AAA0-77B8B4B54E82}" name="Order_ID"/>
    <tableColumn id="2" xr3:uid="{329656F7-63F0-4CE5-B001-0C8B93D5DF46}" name="Region"/>
    <tableColumn id="3" xr3:uid="{3579D98A-A2E8-4D13-967A-9378D4113ED4}" name="Salesperson"/>
    <tableColumn id="4" xr3:uid="{806D0042-C4AF-4CA1-A947-67DFDC8F3284}" name="Product"/>
    <tableColumn id="5" xr3:uid="{A622BB49-FE2B-499C-B3D6-45EC58C7A43A}" name="Quantity"/>
    <tableColumn id="6" xr3:uid="{65FD07CA-7D19-40E2-8F2D-36C5E738F35E}" name="Unit_Price"/>
    <tableColumn id="7" xr3:uid="{E2D26211-482A-4E40-866D-FD8799241FCB}" name="Sales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drawing" Target="../drawings/drawing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6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10.44140625" customWidth="1"/>
    <col min="3" max="3" width="12.88671875" customWidth="1"/>
    <col min="4" max="4" width="9.5546875" customWidth="1"/>
    <col min="5" max="5" width="10.21875" customWidth="1"/>
    <col min="6" max="6" width="11.5546875" customWidth="1"/>
    <col min="7" max="7" width="12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4" x14ac:dyDescent="0.3"/>
  <cols>
    <col min="1" max="1" width="9.5546875" customWidth="1"/>
    <col min="2" max="2" width="10.44140625" customWidth="1"/>
  </cols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 s="16">
        <v>18</v>
      </c>
    </row>
    <row r="3" spans="1:3" x14ac:dyDescent="0.3">
      <c r="A3" t="s">
        <v>17</v>
      </c>
      <c r="B3" t="s">
        <v>30</v>
      </c>
      <c r="C3" s="16">
        <v>12</v>
      </c>
    </row>
    <row r="4" spans="1:3" x14ac:dyDescent="0.3">
      <c r="A4" t="s">
        <v>21</v>
      </c>
      <c r="B4" t="s">
        <v>30</v>
      </c>
      <c r="C4" s="16">
        <v>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3" sqref="B3"/>
    </sheetView>
  </sheetViews>
  <sheetFormatPr defaultRowHeight="14.4" x14ac:dyDescent="0.3"/>
  <cols>
    <col min="1" max="1" width="12.33203125" customWidth="1"/>
    <col min="4" max="4" width="10.21875" customWidth="1"/>
    <col min="6" max="6" width="15.109375" customWidth="1"/>
  </cols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algorithmName="SHA-512" hashValue="59/IIKeBY0xvSO5GikYtUTyUUE3bxHrP8wtFE6pjYacC0SjSrkD+D7cTwhpR6+3wXbmIZvo0SGI2AKcNH0dQ7A==" saltValue="TZLAPys7pL7Hgt/Okh0h3A==" spinCount="100000" sheet="1" objects="1" scenarios="1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1" workbookViewId="0">
      <selection activeCell="A30" sqref="A30:D30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8E26-6AE9-425C-91E0-761828D0EF96}">
  <dimension ref="A1:O262"/>
  <sheetViews>
    <sheetView tabSelected="1" topLeftCell="A68" workbookViewId="0">
      <selection activeCell="A83" sqref="A83"/>
    </sheetView>
  </sheetViews>
  <sheetFormatPr defaultRowHeight="14.4" x14ac:dyDescent="0.3"/>
  <cols>
    <col min="1" max="1" width="14.21875" customWidth="1"/>
    <col min="2" max="2" width="12.88671875" customWidth="1"/>
    <col min="3" max="3" width="14.88671875" bestFit="1" customWidth="1"/>
    <col min="4" max="4" width="11.6640625" bestFit="1" customWidth="1"/>
  </cols>
  <sheetData>
    <row r="1" spans="1:5" x14ac:dyDescent="0.3">
      <c r="A1" s="17" t="s">
        <v>42</v>
      </c>
      <c r="B1" s="17"/>
      <c r="C1" s="17"/>
      <c r="D1" s="17"/>
      <c r="E1" s="17"/>
    </row>
    <row r="2" spans="1:5" ht="15" thickBot="1" x14ac:dyDescent="0.35">
      <c r="A2" s="1" t="s">
        <v>4</v>
      </c>
      <c r="B2" t="s">
        <v>73</v>
      </c>
    </row>
    <row r="3" spans="1:5" ht="15" thickTop="1" x14ac:dyDescent="0.3">
      <c r="A3" s="4">
        <v>301</v>
      </c>
      <c r="B3">
        <f>Sales_Data!E2*Sales_Data!F2</f>
        <v>90000</v>
      </c>
    </row>
    <row r="4" spans="1:5" x14ac:dyDescent="0.3">
      <c r="A4" s="6">
        <v>302</v>
      </c>
      <c r="B4">
        <f>Sales_Data!E3*Sales_Data!F3</f>
        <v>75000</v>
      </c>
    </row>
    <row r="5" spans="1:5" x14ac:dyDescent="0.3">
      <c r="A5" s="4">
        <v>303</v>
      </c>
      <c r="B5">
        <f>Sales_Data!E4*Sales_Data!F4</f>
        <v>54000</v>
      </c>
    </row>
    <row r="6" spans="1:5" x14ac:dyDescent="0.3">
      <c r="A6" s="6">
        <v>304</v>
      </c>
      <c r="B6">
        <f>Sales_Data!E5*Sales_Data!F5</f>
        <v>45000</v>
      </c>
    </row>
    <row r="7" spans="1:5" x14ac:dyDescent="0.3">
      <c r="A7" s="4">
        <v>305</v>
      </c>
      <c r="B7">
        <f>Sales_Data!E6*Sales_Data!F6</f>
        <v>60000</v>
      </c>
    </row>
    <row r="8" spans="1:5" x14ac:dyDescent="0.3">
      <c r="A8" s="10">
        <v>306</v>
      </c>
      <c r="B8">
        <f>Sales_Data!E7*Sales_Data!F7</f>
        <v>90000</v>
      </c>
    </row>
    <row r="11" spans="1:5" x14ac:dyDescent="0.3">
      <c r="A11" s="17" t="s">
        <v>43</v>
      </c>
      <c r="B11" s="17"/>
      <c r="C11" s="17"/>
      <c r="D11" s="17"/>
      <c r="E11" s="17"/>
    </row>
    <row r="12" spans="1:5" ht="15" thickBot="1" x14ac:dyDescent="0.35">
      <c r="A12" s="12" t="s">
        <v>4</v>
      </c>
      <c r="B12" t="s">
        <v>74</v>
      </c>
    </row>
    <row r="13" spans="1:5" ht="15" thickTop="1" x14ac:dyDescent="0.3">
      <c r="A13" s="13">
        <v>301</v>
      </c>
      <c r="B13">
        <f>AnswerSheet!B3*VLOOKUP(VLOOKUP(AnswerSheet!A13,Table2[#All],4,),Table1[#All],3,0)/100</f>
        <v>16200</v>
      </c>
    </row>
    <row r="14" spans="1:5" x14ac:dyDescent="0.3">
      <c r="A14" s="14">
        <v>302</v>
      </c>
      <c r="B14">
        <f>AnswerSheet!B4*VLOOKUP(VLOOKUP(AnswerSheet!A14,Table2[#All],4,),Table1[#All],3,0)/100</f>
        <v>9000</v>
      </c>
    </row>
    <row r="15" spans="1:5" x14ac:dyDescent="0.3">
      <c r="A15" s="13">
        <v>303</v>
      </c>
      <c r="B15">
        <f>AnswerSheet!B5*VLOOKUP(VLOOKUP(AnswerSheet!A15,Table2[#All],4,),Table1[#All],3,0)/100</f>
        <v>6480</v>
      </c>
    </row>
    <row r="16" spans="1:5" x14ac:dyDescent="0.3">
      <c r="A16" s="14">
        <v>304</v>
      </c>
      <c r="B16">
        <f>AnswerSheet!B6*VLOOKUP(VLOOKUP(AnswerSheet!A16,Table2[#All],4,),Table1[#All],3,0)/100</f>
        <v>8100</v>
      </c>
    </row>
    <row r="17" spans="1:5" x14ac:dyDescent="0.3">
      <c r="A17" s="13">
        <v>305</v>
      </c>
      <c r="B17">
        <f>AnswerSheet!B7*VLOOKUP(VLOOKUP(AnswerSheet!A17,Table2[#All],4,),Table1[#All],3,0)/100</f>
        <v>7200</v>
      </c>
    </row>
    <row r="18" spans="1:5" x14ac:dyDescent="0.3">
      <c r="A18" s="15">
        <v>306</v>
      </c>
      <c r="B18">
        <f>AnswerSheet!B8*VLOOKUP(VLOOKUP(AnswerSheet!A18,Table2[#All],4,),Table1[#All],3,0)/100</f>
        <v>16200</v>
      </c>
    </row>
    <row r="21" spans="1:5" x14ac:dyDescent="0.3">
      <c r="A21" s="17" t="s">
        <v>44</v>
      </c>
      <c r="B21" s="17"/>
      <c r="C21" s="17"/>
      <c r="D21" s="17"/>
      <c r="E21" s="17"/>
    </row>
    <row r="22" spans="1:5" ht="15" thickBot="1" x14ac:dyDescent="0.35">
      <c r="A22" s="12" t="s">
        <v>4</v>
      </c>
      <c r="B22" t="s">
        <v>75</v>
      </c>
    </row>
    <row r="23" spans="1:5" ht="15" thickTop="1" x14ac:dyDescent="0.3">
      <c r="A23" s="13">
        <v>301</v>
      </c>
      <c r="B23">
        <f>B3+B13</f>
        <v>106200</v>
      </c>
    </row>
    <row r="24" spans="1:5" x14ac:dyDescent="0.3">
      <c r="A24" s="14">
        <v>302</v>
      </c>
      <c r="B24">
        <f t="shared" ref="B24:B28" si="0">B4+B14</f>
        <v>84000</v>
      </c>
    </row>
    <row r="25" spans="1:5" x14ac:dyDescent="0.3">
      <c r="A25" s="13">
        <v>303</v>
      </c>
      <c r="B25">
        <f t="shared" si="0"/>
        <v>60480</v>
      </c>
    </row>
    <row r="26" spans="1:5" x14ac:dyDescent="0.3">
      <c r="A26" s="14">
        <v>304</v>
      </c>
      <c r="B26">
        <f t="shared" si="0"/>
        <v>53100</v>
      </c>
    </row>
    <row r="27" spans="1:5" x14ac:dyDescent="0.3">
      <c r="A27" s="13">
        <v>305</v>
      </c>
      <c r="B27">
        <f t="shared" si="0"/>
        <v>67200</v>
      </c>
    </row>
    <row r="28" spans="1:5" x14ac:dyDescent="0.3">
      <c r="A28" s="15">
        <v>306</v>
      </c>
      <c r="B28">
        <f t="shared" si="0"/>
        <v>106200</v>
      </c>
    </row>
    <row r="31" spans="1:5" x14ac:dyDescent="0.3">
      <c r="A31" s="17" t="s">
        <v>45</v>
      </c>
      <c r="B31" s="17"/>
      <c r="C31" s="17"/>
      <c r="D31" s="17"/>
      <c r="E31" s="17"/>
    </row>
    <row r="32" spans="1:5" x14ac:dyDescent="0.3">
      <c r="A32" s="19" t="s">
        <v>76</v>
      </c>
      <c r="B32" s="19"/>
      <c r="C32" s="18">
        <f>SUM(Table6[[Final Amount ]])</f>
        <v>477180</v>
      </c>
    </row>
    <row r="35" spans="1:5" x14ac:dyDescent="0.3">
      <c r="A35" s="17" t="s">
        <v>46</v>
      </c>
      <c r="B35" s="17"/>
      <c r="C35" s="17"/>
      <c r="D35" s="17"/>
      <c r="E35" s="17"/>
    </row>
    <row r="36" spans="1:5" x14ac:dyDescent="0.3">
      <c r="A36" s="19" t="s">
        <v>77</v>
      </c>
      <c r="B36" s="19"/>
      <c r="C36" s="18">
        <f>COUNTA(Table2[Salesperson])</f>
        <v>6</v>
      </c>
    </row>
    <row r="39" spans="1:5" x14ac:dyDescent="0.3">
      <c r="A39" s="17" t="s">
        <v>47</v>
      </c>
      <c r="B39" s="17"/>
      <c r="C39" s="17"/>
      <c r="D39" s="17"/>
      <c r="E39" s="17"/>
    </row>
    <row r="40" spans="1:5" x14ac:dyDescent="0.3">
      <c r="A40" t="s">
        <v>78</v>
      </c>
      <c r="B40" t="s">
        <v>73</v>
      </c>
    </row>
    <row r="41" spans="1:5" x14ac:dyDescent="0.3">
      <c r="A41" t="s">
        <v>79</v>
      </c>
      <c r="B41">
        <f>SUMIF(Table2[Region],"North",Table6[[Final Amount ]])</f>
        <v>173400</v>
      </c>
    </row>
    <row r="42" spans="1:5" x14ac:dyDescent="0.3">
      <c r="A42" t="s">
        <v>80</v>
      </c>
      <c r="B42">
        <f>SUMIF(Table2[Region],"South",Table6[[Final Amount ]])</f>
        <v>190200</v>
      </c>
    </row>
    <row r="43" spans="1:5" x14ac:dyDescent="0.3">
      <c r="A43" t="s">
        <v>19</v>
      </c>
      <c r="B43">
        <f>SUMIF(Table2[Region],"East",Table6[[Final Amount ]])</f>
        <v>60480</v>
      </c>
    </row>
    <row r="44" spans="1:5" x14ac:dyDescent="0.3">
      <c r="A44" t="s">
        <v>23</v>
      </c>
      <c r="B44">
        <f>SUMIF(Table2[Region],"West",Table6[[Final Amount ]])</f>
        <v>53100</v>
      </c>
    </row>
    <row r="47" spans="1:5" x14ac:dyDescent="0.3">
      <c r="A47" s="17" t="s">
        <v>48</v>
      </c>
      <c r="B47" s="17"/>
      <c r="C47" s="17"/>
      <c r="D47" s="17"/>
      <c r="E47" s="17"/>
    </row>
    <row r="48" spans="1:5" ht="15" thickBot="1" x14ac:dyDescent="0.35">
      <c r="A48" s="1" t="s">
        <v>4</v>
      </c>
      <c r="B48" t="s">
        <v>81</v>
      </c>
    </row>
    <row r="49" spans="1:5" ht="15" thickTop="1" x14ac:dyDescent="0.3">
      <c r="A49" s="4">
        <v>301</v>
      </c>
      <c r="B49" t="str">
        <f>IF(Sales_Data!E2&gt;3,"High","Low")</f>
        <v>Low</v>
      </c>
    </row>
    <row r="50" spans="1:5" x14ac:dyDescent="0.3">
      <c r="A50" s="6">
        <v>302</v>
      </c>
      <c r="B50" t="str">
        <f>IF(Sales_Data!E3&gt;3,"High","Low")</f>
        <v>High</v>
      </c>
    </row>
    <row r="51" spans="1:5" x14ac:dyDescent="0.3">
      <c r="A51" s="4">
        <v>303</v>
      </c>
      <c r="B51" t="str">
        <f>IF(Sales_Data!E4&gt;3,"High","Low")</f>
        <v>Low</v>
      </c>
    </row>
    <row r="52" spans="1:5" x14ac:dyDescent="0.3">
      <c r="A52" s="6">
        <v>304</v>
      </c>
      <c r="B52" t="str">
        <f>IF(Sales_Data!E5&gt;3,"High","Low")</f>
        <v>Low</v>
      </c>
    </row>
    <row r="53" spans="1:5" x14ac:dyDescent="0.3">
      <c r="A53" s="4">
        <v>305</v>
      </c>
      <c r="B53" t="str">
        <f>IF(Sales_Data!E6&gt;3,"High","Low")</f>
        <v>High</v>
      </c>
    </row>
    <row r="54" spans="1:5" x14ac:dyDescent="0.3">
      <c r="A54" s="10">
        <v>306</v>
      </c>
      <c r="B54" t="str">
        <f>IF(Sales_Data!E7&gt;3,"High","Low")</f>
        <v>Low</v>
      </c>
    </row>
    <row r="57" spans="1:5" x14ac:dyDescent="0.3">
      <c r="A57" s="17" t="s">
        <v>49</v>
      </c>
      <c r="B57" s="17"/>
      <c r="C57" s="17"/>
      <c r="D57" s="17"/>
      <c r="E57" s="17"/>
    </row>
    <row r="58" spans="1:5" x14ac:dyDescent="0.3">
      <c r="A58" s="19" t="s">
        <v>82</v>
      </c>
      <c r="B58" s="19"/>
      <c r="C58" s="18">
        <f>MAX(Table6[[Final Amount ]])</f>
        <v>106200</v>
      </c>
    </row>
    <row r="59" spans="1:5" x14ac:dyDescent="0.3">
      <c r="A59" s="19" t="s">
        <v>83</v>
      </c>
      <c r="B59" s="19"/>
      <c r="C59" s="18">
        <f>MIN(Table6[[Final Amount ]])</f>
        <v>53100</v>
      </c>
    </row>
    <row r="62" spans="1:5" x14ac:dyDescent="0.3">
      <c r="A62" s="17" t="s">
        <v>50</v>
      </c>
      <c r="B62" s="17"/>
      <c r="C62" s="17"/>
      <c r="D62" s="17"/>
      <c r="E62" s="17"/>
    </row>
    <row r="63" spans="1:5" ht="15" thickBot="1" x14ac:dyDescent="0.35">
      <c r="A63" s="1" t="s">
        <v>4</v>
      </c>
      <c r="B63" s="3" t="s">
        <v>10</v>
      </c>
    </row>
    <row r="64" spans="1:5" ht="15" thickTop="1" x14ac:dyDescent="0.3">
      <c r="A64" s="4">
        <v>301</v>
      </c>
      <c r="B64" s="20">
        <v>45662</v>
      </c>
    </row>
    <row r="65" spans="1:5" x14ac:dyDescent="0.3">
      <c r="A65" s="6">
        <v>302</v>
      </c>
      <c r="B65" s="20">
        <v>45663</v>
      </c>
    </row>
    <row r="66" spans="1:5" x14ac:dyDescent="0.3">
      <c r="A66" s="4">
        <v>303</v>
      </c>
      <c r="B66" s="20">
        <v>45664</v>
      </c>
    </row>
    <row r="67" spans="1:5" x14ac:dyDescent="0.3">
      <c r="A67" s="6">
        <v>304</v>
      </c>
      <c r="B67" s="20">
        <v>45665</v>
      </c>
    </row>
    <row r="68" spans="1:5" x14ac:dyDescent="0.3">
      <c r="A68" s="4">
        <v>305</v>
      </c>
      <c r="B68" s="20">
        <v>45666</v>
      </c>
    </row>
    <row r="69" spans="1:5" x14ac:dyDescent="0.3">
      <c r="A69" s="10">
        <v>306</v>
      </c>
      <c r="B69" s="20">
        <v>45667</v>
      </c>
    </row>
    <row r="72" spans="1:5" x14ac:dyDescent="0.3">
      <c r="A72" s="17" t="s">
        <v>51</v>
      </c>
      <c r="B72" s="17"/>
      <c r="C72" s="17"/>
      <c r="D72" s="17"/>
      <c r="E72" s="17"/>
    </row>
    <row r="73" spans="1:5" ht="15" thickBot="1" x14ac:dyDescent="0.35">
      <c r="A73" s="12" t="s">
        <v>4</v>
      </c>
      <c r="B73" s="21" t="s">
        <v>75</v>
      </c>
    </row>
    <row r="74" spans="1:5" ht="15" thickTop="1" x14ac:dyDescent="0.3">
      <c r="A74" s="14">
        <v>306</v>
      </c>
      <c r="B74" s="23">
        <v>106200</v>
      </c>
    </row>
    <row r="75" spans="1:5" x14ac:dyDescent="0.3">
      <c r="A75" s="13">
        <v>301</v>
      </c>
      <c r="B75" s="22">
        <v>106200</v>
      </c>
    </row>
    <row r="76" spans="1:5" x14ac:dyDescent="0.3">
      <c r="A76" s="14">
        <v>302</v>
      </c>
      <c r="B76" s="23">
        <v>84000</v>
      </c>
    </row>
    <row r="77" spans="1:5" x14ac:dyDescent="0.3">
      <c r="A77" s="13">
        <v>303</v>
      </c>
      <c r="B77" s="22">
        <v>67200</v>
      </c>
    </row>
    <row r="78" spans="1:5" x14ac:dyDescent="0.3">
      <c r="A78" s="14">
        <v>304</v>
      </c>
      <c r="B78" s="22">
        <v>60480</v>
      </c>
    </row>
    <row r="79" spans="1:5" x14ac:dyDescent="0.3">
      <c r="A79" s="25">
        <v>305</v>
      </c>
      <c r="B79" s="24">
        <v>53100</v>
      </c>
    </row>
    <row r="82" spans="1:5" x14ac:dyDescent="0.3">
      <c r="A82" s="17" t="s">
        <v>52</v>
      </c>
      <c r="B82" s="17"/>
      <c r="C82" s="17"/>
      <c r="D82" s="17"/>
      <c r="E82" s="17"/>
    </row>
    <row r="90" spans="1:5" x14ac:dyDescent="0.3">
      <c r="A90" s="17" t="s">
        <v>53</v>
      </c>
      <c r="B90" s="17"/>
      <c r="C90" s="17"/>
      <c r="D90" s="17"/>
      <c r="E90" s="17"/>
    </row>
    <row r="91" spans="1:5" ht="15" thickBot="1" x14ac:dyDescent="0.35">
      <c r="A91" s="1" t="s">
        <v>31</v>
      </c>
      <c r="B91" s="2" t="s">
        <v>32</v>
      </c>
      <c r="C91" t="s">
        <v>84</v>
      </c>
    </row>
    <row r="92" spans="1:5" ht="15" thickTop="1" x14ac:dyDescent="0.3">
      <c r="A92" s="4">
        <v>1</v>
      </c>
      <c r="B92" s="5" t="s">
        <v>37</v>
      </c>
      <c r="C92" s="26">
        <f>AVERAGE(Student_Marks!C2:E2)</f>
        <v>81.666666666666671</v>
      </c>
    </row>
    <row r="93" spans="1:5" x14ac:dyDescent="0.3">
      <c r="A93" s="6">
        <v>2</v>
      </c>
      <c r="B93" s="7" t="s">
        <v>38</v>
      </c>
      <c r="C93" s="26">
        <f>AVERAGE(Student_Marks!C3:E3)</f>
        <v>89.666666666666671</v>
      </c>
    </row>
    <row r="94" spans="1:5" x14ac:dyDescent="0.3">
      <c r="A94" s="4">
        <v>3</v>
      </c>
      <c r="B94" s="5" t="s">
        <v>39</v>
      </c>
      <c r="C94" s="26">
        <f>AVERAGE(Student_Marks!C4:E4)</f>
        <v>69</v>
      </c>
    </row>
    <row r="95" spans="1:5" x14ac:dyDescent="0.3">
      <c r="A95" s="6">
        <v>4</v>
      </c>
      <c r="B95" s="7" t="s">
        <v>40</v>
      </c>
      <c r="C95" s="26">
        <f>AVERAGE(Student_Marks!C5:E5)</f>
        <v>91.666666666666671</v>
      </c>
    </row>
    <row r="96" spans="1:5" x14ac:dyDescent="0.3">
      <c r="A96" s="8">
        <v>5</v>
      </c>
      <c r="B96" s="9" t="s">
        <v>41</v>
      </c>
      <c r="C96" s="26">
        <f>AVERAGE(Student_Marks!C6:E6)</f>
        <v>57.666666666666664</v>
      </c>
    </row>
    <row r="99" spans="1:5" x14ac:dyDescent="0.3">
      <c r="A99" s="17" t="s">
        <v>54</v>
      </c>
      <c r="B99" s="17"/>
      <c r="C99" s="17"/>
      <c r="D99" s="17"/>
      <c r="E99" s="17"/>
    </row>
    <row r="100" spans="1:5" x14ac:dyDescent="0.3">
      <c r="A100" s="19" t="s">
        <v>85</v>
      </c>
      <c r="B100" s="19"/>
      <c r="C100" s="18" t="str">
        <f>_xlfn.XLOOKUP(MAX(Table10[Average Marks]), Table10[Average Marks],Table10[Name])</f>
        <v>Pooja</v>
      </c>
    </row>
    <row r="103" spans="1:5" x14ac:dyDescent="0.3">
      <c r="A103" s="17" t="s">
        <v>55</v>
      </c>
      <c r="B103" s="17"/>
      <c r="C103" s="17"/>
      <c r="D103" s="17"/>
      <c r="E103" s="17"/>
    </row>
    <row r="104" spans="1:5" x14ac:dyDescent="0.3">
      <c r="A104" s="19" t="s">
        <v>86</v>
      </c>
      <c r="B104" s="19"/>
      <c r="C104" s="18">
        <f>COUNTIF(Table3[Attendance_%],"&gt;90")</f>
        <v>3</v>
      </c>
    </row>
    <row r="107" spans="1:5" x14ac:dyDescent="0.3">
      <c r="A107" s="17" t="s">
        <v>56</v>
      </c>
      <c r="B107" s="17"/>
      <c r="C107" s="17"/>
      <c r="D107" s="17"/>
      <c r="E107" s="17"/>
    </row>
    <row r="108" spans="1:5" ht="15" thickBot="1" x14ac:dyDescent="0.35">
      <c r="A108" s="1" t="s">
        <v>31</v>
      </c>
      <c r="B108" s="2" t="s">
        <v>32</v>
      </c>
      <c r="C108" t="s">
        <v>87</v>
      </c>
    </row>
    <row r="109" spans="1:5" ht="15" thickTop="1" x14ac:dyDescent="0.3">
      <c r="A109" s="4">
        <v>1</v>
      </c>
      <c r="B109" s="5" t="s">
        <v>37</v>
      </c>
      <c r="C109" t="str">
        <f>IF(Student_Marks!F2 &gt;=85,"Eligible","Not Eligilbe")</f>
        <v>Eligible</v>
      </c>
    </row>
    <row r="110" spans="1:5" x14ac:dyDescent="0.3">
      <c r="A110" s="6">
        <v>2</v>
      </c>
      <c r="B110" s="7" t="s">
        <v>38</v>
      </c>
      <c r="C110" t="str">
        <f>IF(Student_Marks!F3 &gt;=85,"Eligible","Not Eligilbe")</f>
        <v>Eligible</v>
      </c>
    </row>
    <row r="111" spans="1:5" x14ac:dyDescent="0.3">
      <c r="A111" s="4">
        <v>3</v>
      </c>
      <c r="B111" s="5" t="s">
        <v>39</v>
      </c>
      <c r="C111" t="str">
        <f>IF(Student_Marks!F4 &gt;=85,"Eligible","Not Eligilbe")</f>
        <v>Eligible</v>
      </c>
    </row>
    <row r="112" spans="1:5" x14ac:dyDescent="0.3">
      <c r="A112" s="6">
        <v>4</v>
      </c>
      <c r="B112" s="7" t="s">
        <v>40</v>
      </c>
      <c r="C112" t="str">
        <f>IF(Student_Marks!F5 &gt;=85,"Eligible","Not Eligilbe")</f>
        <v>Eligible</v>
      </c>
    </row>
    <row r="113" spans="1:5" x14ac:dyDescent="0.3">
      <c r="A113" s="8">
        <v>5</v>
      </c>
      <c r="B113" s="9" t="s">
        <v>41</v>
      </c>
      <c r="C113" t="str">
        <f>IF(Student_Marks!F6 &gt;=85,"Eligible","Not Eligilbe")</f>
        <v>Not Eligilbe</v>
      </c>
    </row>
    <row r="116" spans="1:5" x14ac:dyDescent="0.3">
      <c r="A116" s="17" t="s">
        <v>57</v>
      </c>
      <c r="B116" s="17"/>
      <c r="C116" s="17"/>
      <c r="D116" s="17"/>
      <c r="E116" s="17"/>
    </row>
    <row r="117" spans="1:5" x14ac:dyDescent="0.3">
      <c r="A117" s="27" t="s">
        <v>88</v>
      </c>
      <c r="B117" t="s">
        <v>91</v>
      </c>
      <c r="C117" t="s">
        <v>92</v>
      </c>
      <c r="D117" t="s">
        <v>93</v>
      </c>
    </row>
    <row r="118" spans="1:5" x14ac:dyDescent="0.3">
      <c r="A118" s="28" t="s">
        <v>39</v>
      </c>
      <c r="B118" s="29">
        <v>65</v>
      </c>
      <c r="C118" s="29">
        <v>70</v>
      </c>
      <c r="D118" s="29">
        <v>72</v>
      </c>
    </row>
    <row r="119" spans="1:5" x14ac:dyDescent="0.3">
      <c r="A119" s="28" t="s">
        <v>40</v>
      </c>
      <c r="B119" s="29">
        <v>92</v>
      </c>
      <c r="C119" s="29">
        <v>89</v>
      </c>
      <c r="D119" s="29">
        <v>94</v>
      </c>
    </row>
    <row r="120" spans="1:5" x14ac:dyDescent="0.3">
      <c r="A120" s="28" t="s">
        <v>37</v>
      </c>
      <c r="B120" s="29">
        <v>78</v>
      </c>
      <c r="C120" s="29">
        <v>82</v>
      </c>
      <c r="D120" s="29">
        <v>85</v>
      </c>
    </row>
    <row r="121" spans="1:5" x14ac:dyDescent="0.3">
      <c r="A121" s="28" t="s">
        <v>38</v>
      </c>
      <c r="B121" s="29">
        <v>88</v>
      </c>
      <c r="C121" s="29">
        <v>91</v>
      </c>
      <c r="D121" s="29">
        <v>90</v>
      </c>
    </row>
    <row r="122" spans="1:5" x14ac:dyDescent="0.3">
      <c r="A122" s="28" t="s">
        <v>41</v>
      </c>
      <c r="B122" s="29">
        <v>55</v>
      </c>
      <c r="C122" s="29">
        <v>60</v>
      </c>
      <c r="D122" s="29">
        <v>58</v>
      </c>
    </row>
    <row r="123" spans="1:5" x14ac:dyDescent="0.3">
      <c r="A123" s="28" t="s">
        <v>89</v>
      </c>
      <c r="B123" s="29">
        <v>378</v>
      </c>
      <c r="C123" s="29">
        <v>392</v>
      </c>
      <c r="D123" s="29">
        <v>399</v>
      </c>
    </row>
    <row r="124" spans="1:5" x14ac:dyDescent="0.3">
      <c r="A124" s="17" t="s">
        <v>58</v>
      </c>
      <c r="B124" s="17"/>
      <c r="C124" s="17"/>
      <c r="D124" s="17"/>
      <c r="E124" s="17"/>
    </row>
    <row r="125" spans="1:5" x14ac:dyDescent="0.3">
      <c r="A125" s="27" t="s">
        <v>88</v>
      </c>
      <c r="B125" t="s">
        <v>90</v>
      </c>
    </row>
    <row r="126" spans="1:5" x14ac:dyDescent="0.3">
      <c r="A126" s="28" t="s">
        <v>19</v>
      </c>
      <c r="B126" s="29">
        <v>54000</v>
      </c>
    </row>
    <row r="127" spans="1:5" x14ac:dyDescent="0.3">
      <c r="A127" s="28" t="s">
        <v>11</v>
      </c>
      <c r="B127" s="29">
        <v>150000</v>
      </c>
    </row>
    <row r="128" spans="1:5" x14ac:dyDescent="0.3">
      <c r="A128" s="28" t="s">
        <v>15</v>
      </c>
      <c r="B128" s="29">
        <v>165000</v>
      </c>
    </row>
    <row r="129" spans="1:5" x14ac:dyDescent="0.3">
      <c r="A129" s="28" t="s">
        <v>23</v>
      </c>
      <c r="B129" s="29">
        <v>45000</v>
      </c>
    </row>
    <row r="130" spans="1:5" x14ac:dyDescent="0.3">
      <c r="A130" s="28" t="s">
        <v>89</v>
      </c>
      <c r="B130" s="29">
        <v>414000</v>
      </c>
    </row>
    <row r="133" spans="1:5" x14ac:dyDescent="0.3">
      <c r="A133" s="17" t="s">
        <v>59</v>
      </c>
      <c r="B133" s="17"/>
      <c r="C133" s="17"/>
      <c r="D133" s="17"/>
      <c r="E133" s="17"/>
    </row>
    <row r="150" spans="1:5" x14ac:dyDescent="0.3">
      <c r="A150" s="17" t="s">
        <v>60</v>
      </c>
      <c r="B150" s="17"/>
      <c r="C150" s="17"/>
      <c r="D150" s="17"/>
      <c r="E150" s="17"/>
    </row>
    <row r="177" spans="1:6" x14ac:dyDescent="0.3">
      <c r="A177" s="17" t="s">
        <v>61</v>
      </c>
      <c r="B177" s="17"/>
      <c r="C177" s="17"/>
      <c r="D177" s="17"/>
      <c r="E177" s="17"/>
      <c r="F177" s="17"/>
    </row>
    <row r="178" spans="1:6" ht="15" thickBot="1" x14ac:dyDescent="0.35">
      <c r="A178" s="1" t="s">
        <v>31</v>
      </c>
      <c r="B178" s="2" t="s">
        <v>32</v>
      </c>
      <c r="C178" t="s">
        <v>94</v>
      </c>
    </row>
    <row r="179" spans="1:6" ht="15" thickTop="1" x14ac:dyDescent="0.3">
      <c r="A179" s="4">
        <v>1</v>
      </c>
      <c r="B179" s="5" t="s">
        <v>37</v>
      </c>
      <c r="C179">
        <f>MEDIAN(Student_Marks!C2:E2)</f>
        <v>82</v>
      </c>
    </row>
    <row r="180" spans="1:6" x14ac:dyDescent="0.3">
      <c r="A180" s="6">
        <v>2</v>
      </c>
      <c r="B180" s="7" t="s">
        <v>38</v>
      </c>
      <c r="C180">
        <f>MEDIAN(Student_Marks!C3:E3)</f>
        <v>90</v>
      </c>
    </row>
    <row r="181" spans="1:6" x14ac:dyDescent="0.3">
      <c r="A181" s="4">
        <v>3</v>
      </c>
      <c r="B181" s="5" t="s">
        <v>39</v>
      </c>
      <c r="C181">
        <f>MEDIAN(Student_Marks!C4:E4)</f>
        <v>70</v>
      </c>
    </row>
    <row r="182" spans="1:6" x14ac:dyDescent="0.3">
      <c r="A182" s="6">
        <v>4</v>
      </c>
      <c r="B182" s="7" t="s">
        <v>40</v>
      </c>
      <c r="C182">
        <f>MEDIAN(Student_Marks!C5:E5)</f>
        <v>92</v>
      </c>
    </row>
    <row r="183" spans="1:6" x14ac:dyDescent="0.3">
      <c r="A183" s="8">
        <v>5</v>
      </c>
      <c r="B183" s="9" t="s">
        <v>41</v>
      </c>
      <c r="C183">
        <f>MEDIAN(Student_Marks!C6:E6)</f>
        <v>58</v>
      </c>
    </row>
    <row r="186" spans="1:6" x14ac:dyDescent="0.3">
      <c r="A186" s="17" t="s">
        <v>62</v>
      </c>
      <c r="B186" s="17"/>
      <c r="C186" s="17"/>
      <c r="D186" s="17"/>
      <c r="E186" s="17"/>
      <c r="F186" s="17"/>
    </row>
    <row r="187" spans="1:6" ht="15" thickBot="1" x14ac:dyDescent="0.35">
      <c r="A187" s="1" t="s">
        <v>31</v>
      </c>
      <c r="B187" s="2" t="s">
        <v>32</v>
      </c>
      <c r="C187" t="s">
        <v>96</v>
      </c>
    </row>
    <row r="188" spans="1:6" ht="15" thickTop="1" x14ac:dyDescent="0.3">
      <c r="A188" s="4">
        <v>1</v>
      </c>
      <c r="B188" s="5" t="s">
        <v>37</v>
      </c>
      <c r="C188">
        <f>SUM(Student_Marks!C2:E2)</f>
        <v>245</v>
      </c>
    </row>
    <row r="189" spans="1:6" x14ac:dyDescent="0.3">
      <c r="A189" s="6">
        <v>2</v>
      </c>
      <c r="B189" s="7" t="s">
        <v>38</v>
      </c>
      <c r="C189">
        <f>SUM(Student_Marks!C3:E3)</f>
        <v>269</v>
      </c>
      <c r="E189" s="19" t="s">
        <v>95</v>
      </c>
      <c r="F189" s="19"/>
    </row>
    <row r="190" spans="1:6" x14ac:dyDescent="0.3">
      <c r="A190" s="4">
        <v>3</v>
      </c>
      <c r="B190" s="5" t="s">
        <v>39</v>
      </c>
      <c r="C190">
        <f>SUM(Student_Marks!C4:E4)</f>
        <v>207</v>
      </c>
      <c r="E190" s="31">
        <f>_xlfn.STDEV.S(C188:C192)</f>
        <v>43.23424568556733</v>
      </c>
      <c r="F190" s="31"/>
    </row>
    <row r="191" spans="1:6" x14ac:dyDescent="0.3">
      <c r="A191" s="6">
        <v>4</v>
      </c>
      <c r="B191" s="7" t="s">
        <v>40</v>
      </c>
      <c r="C191">
        <f>SUM(Student_Marks!C5:E5)</f>
        <v>275</v>
      </c>
    </row>
    <row r="192" spans="1:6" x14ac:dyDescent="0.3">
      <c r="A192" s="8">
        <v>5</v>
      </c>
      <c r="B192" s="9" t="s">
        <v>41</v>
      </c>
      <c r="C192">
        <f>SUM(Student_Marks!C6:E6)</f>
        <v>173</v>
      </c>
    </row>
    <row r="195" spans="1:6" x14ac:dyDescent="0.3">
      <c r="A195" s="17" t="s">
        <v>63</v>
      </c>
      <c r="B195" s="17"/>
      <c r="C195" s="17"/>
      <c r="D195" s="17"/>
      <c r="E195" s="17"/>
      <c r="F195" s="17"/>
    </row>
    <row r="196" spans="1:6" x14ac:dyDescent="0.3">
      <c r="A196" t="s">
        <v>97</v>
      </c>
    </row>
    <row r="197" spans="1:6" x14ac:dyDescent="0.3">
      <c r="A197" t="str">
        <f>_xlfn.CONCAT(Student_Marks!A2," ",Student_Marks!B2)</f>
        <v>1 Rahul</v>
      </c>
    </row>
    <row r="198" spans="1:6" x14ac:dyDescent="0.3">
      <c r="A198" t="str">
        <f>_xlfn.CONCAT(Student_Marks!A3," ",Student_Marks!B3)</f>
        <v>2 Sneha</v>
      </c>
    </row>
    <row r="199" spans="1:6" x14ac:dyDescent="0.3">
      <c r="A199" t="str">
        <f>_xlfn.CONCAT(Student_Marks!A4," ",Student_Marks!B4)</f>
        <v>3 Arjun</v>
      </c>
    </row>
    <row r="200" spans="1:6" x14ac:dyDescent="0.3">
      <c r="A200" t="str">
        <f>_xlfn.CONCAT(Student_Marks!A5," ",Student_Marks!B5)</f>
        <v>4 Pooja</v>
      </c>
    </row>
    <row r="201" spans="1:6" x14ac:dyDescent="0.3">
      <c r="A201" t="str">
        <f>_xlfn.CONCAT(Student_Marks!A6," ",Student_Marks!B6)</f>
        <v>5 Vikas</v>
      </c>
    </row>
    <row r="204" spans="1:6" x14ac:dyDescent="0.3">
      <c r="A204" s="17" t="s">
        <v>64</v>
      </c>
      <c r="B204" s="17"/>
      <c r="C204" s="17"/>
      <c r="D204" s="17"/>
      <c r="E204" s="17"/>
      <c r="F204" s="17"/>
    </row>
    <row r="205" spans="1:6" ht="15" thickBot="1" x14ac:dyDescent="0.35">
      <c r="A205" s="1" t="s">
        <v>4</v>
      </c>
      <c r="B205" t="s">
        <v>6</v>
      </c>
    </row>
    <row r="206" spans="1:6" ht="15" thickTop="1" x14ac:dyDescent="0.3">
      <c r="A206" s="4">
        <v>301</v>
      </c>
      <c r="B206" t="str">
        <f>LEFT(Sales_Data!C2,2)</f>
        <v>Am</v>
      </c>
    </row>
    <row r="207" spans="1:6" x14ac:dyDescent="0.3">
      <c r="A207" s="6">
        <v>302</v>
      </c>
      <c r="B207" t="str">
        <f>LEFT(Sales_Data!C3,2)</f>
        <v>Ri</v>
      </c>
    </row>
    <row r="208" spans="1:6" x14ac:dyDescent="0.3">
      <c r="A208" s="4">
        <v>303</v>
      </c>
      <c r="B208" t="str">
        <f>LEFT(Sales_Data!C4,2)</f>
        <v>Ku</v>
      </c>
    </row>
    <row r="209" spans="1:6" x14ac:dyDescent="0.3">
      <c r="A209" s="6">
        <v>304</v>
      </c>
      <c r="B209" t="str">
        <f>LEFT(Sales_Data!C5,2)</f>
        <v>Ne</v>
      </c>
    </row>
    <row r="210" spans="1:6" x14ac:dyDescent="0.3">
      <c r="A210" s="4">
        <v>305</v>
      </c>
      <c r="B210" t="str">
        <f>LEFT(Sales_Data!C6,2)</f>
        <v>Am</v>
      </c>
    </row>
    <row r="211" spans="1:6" x14ac:dyDescent="0.3">
      <c r="A211" s="10">
        <v>306</v>
      </c>
      <c r="B211" t="str">
        <f>LEFT(Sales_Data!C7,2)</f>
        <v>Ri</v>
      </c>
    </row>
    <row r="214" spans="1:6" x14ac:dyDescent="0.3">
      <c r="A214" s="17" t="s">
        <v>65</v>
      </c>
      <c r="B214" s="17"/>
      <c r="C214" s="17"/>
      <c r="D214" s="17"/>
      <c r="E214" s="17"/>
      <c r="F214" s="17"/>
    </row>
    <row r="215" spans="1:6" x14ac:dyDescent="0.3">
      <c r="A215" s="30" t="s">
        <v>4</v>
      </c>
      <c r="B215" s="30" t="s">
        <v>75</v>
      </c>
    </row>
    <row r="216" spans="1:6" x14ac:dyDescent="0.3">
      <c r="A216">
        <v>301</v>
      </c>
      <c r="B216">
        <v>106200</v>
      </c>
    </row>
    <row r="217" spans="1:6" x14ac:dyDescent="0.3">
      <c r="A217">
        <v>302</v>
      </c>
      <c r="B217">
        <v>84000</v>
      </c>
    </row>
    <row r="218" spans="1:6" x14ac:dyDescent="0.3">
      <c r="A218">
        <v>303</v>
      </c>
      <c r="B218">
        <v>60480</v>
      </c>
    </row>
    <row r="219" spans="1:6" x14ac:dyDescent="0.3">
      <c r="A219">
        <v>304</v>
      </c>
      <c r="B219">
        <v>53100</v>
      </c>
    </row>
    <row r="220" spans="1:6" x14ac:dyDescent="0.3">
      <c r="A220">
        <v>305</v>
      </c>
      <c r="B220">
        <v>67200</v>
      </c>
    </row>
    <row r="221" spans="1:6" x14ac:dyDescent="0.3">
      <c r="A221">
        <v>306</v>
      </c>
      <c r="B221">
        <v>106200</v>
      </c>
    </row>
    <row r="224" spans="1:6" x14ac:dyDescent="0.3">
      <c r="A224" s="17" t="s">
        <v>66</v>
      </c>
      <c r="B224" s="17"/>
      <c r="C224" s="17"/>
      <c r="D224" s="17"/>
      <c r="E224" s="17"/>
      <c r="F224" s="17"/>
    </row>
    <row r="225" spans="1:6" ht="15" thickBot="1" x14ac:dyDescent="0.35">
      <c r="A225" s="1" t="s">
        <v>4</v>
      </c>
      <c r="B225" s="2" t="s">
        <v>5</v>
      </c>
      <c r="C225" s="2" t="s">
        <v>6</v>
      </c>
      <c r="D225" s="2" t="s">
        <v>7</v>
      </c>
      <c r="E225" s="2" t="s">
        <v>8</v>
      </c>
    </row>
    <row r="226" spans="1:6" ht="15" thickTop="1" x14ac:dyDescent="0.3">
      <c r="A226" s="4">
        <v>301</v>
      </c>
      <c r="B226" s="5" t="s">
        <v>11</v>
      </c>
      <c r="C226" s="5" t="s">
        <v>12</v>
      </c>
      <c r="D226" s="5" t="s">
        <v>13</v>
      </c>
      <c r="E226" s="5">
        <v>2</v>
      </c>
    </row>
    <row r="227" spans="1:6" x14ac:dyDescent="0.3">
      <c r="A227" s="6">
        <v>302</v>
      </c>
      <c r="B227" s="7" t="s">
        <v>15</v>
      </c>
      <c r="C227" s="7" t="s">
        <v>16</v>
      </c>
      <c r="D227" s="7" t="s">
        <v>17</v>
      </c>
      <c r="E227" s="7">
        <v>5</v>
      </c>
    </row>
    <row r="228" spans="1:6" x14ac:dyDescent="0.3">
      <c r="A228" s="4">
        <v>303</v>
      </c>
      <c r="B228" s="5" t="s">
        <v>19</v>
      </c>
      <c r="C228" s="5" t="s">
        <v>20</v>
      </c>
      <c r="D228" s="5" t="s">
        <v>21</v>
      </c>
      <c r="E228" s="5">
        <v>3</v>
      </c>
    </row>
    <row r="229" spans="1:6" x14ac:dyDescent="0.3">
      <c r="A229" s="6">
        <v>304</v>
      </c>
      <c r="B229" s="7" t="s">
        <v>23</v>
      </c>
      <c r="C229" s="7" t="s">
        <v>24</v>
      </c>
      <c r="D229" s="7" t="s">
        <v>13</v>
      </c>
      <c r="E229" s="7">
        <v>1</v>
      </c>
    </row>
    <row r="230" spans="1:6" x14ac:dyDescent="0.3">
      <c r="A230" s="4">
        <v>305</v>
      </c>
      <c r="B230" s="5" t="s">
        <v>11</v>
      </c>
      <c r="C230" s="5" t="s">
        <v>12</v>
      </c>
      <c r="D230" s="5" t="s">
        <v>17</v>
      </c>
      <c r="E230" s="5">
        <v>4</v>
      </c>
    </row>
    <row r="231" spans="1:6" x14ac:dyDescent="0.3">
      <c r="A231" s="10">
        <v>306</v>
      </c>
      <c r="B231" s="11" t="s">
        <v>15</v>
      </c>
      <c r="C231" s="11" t="s">
        <v>16</v>
      </c>
      <c r="D231" s="11" t="s">
        <v>13</v>
      </c>
      <c r="E231" s="11">
        <v>2</v>
      </c>
    </row>
    <row r="234" spans="1:6" x14ac:dyDescent="0.3">
      <c r="A234" s="17" t="s">
        <v>67</v>
      </c>
      <c r="B234" s="17"/>
      <c r="C234" s="17"/>
      <c r="D234" s="17"/>
      <c r="E234" s="17"/>
      <c r="F234" s="17"/>
    </row>
    <row r="235" spans="1:6" x14ac:dyDescent="0.3">
      <c r="A235" s="19" t="s">
        <v>98</v>
      </c>
      <c r="B235" s="19"/>
      <c r="C235" s="31">
        <f>COUNTIFS(Table2[Product],"=Laptop",Table2[Region],"=North")</f>
        <v>1</v>
      </c>
      <c r="D235" s="31"/>
    </row>
    <row r="238" spans="1:6" x14ac:dyDescent="0.3">
      <c r="A238" s="17" t="s">
        <v>68</v>
      </c>
      <c r="B238" s="17"/>
      <c r="C238" s="17"/>
      <c r="D238" s="17"/>
      <c r="E238" s="17"/>
      <c r="F238" s="17"/>
    </row>
    <row r="239" spans="1:6" ht="15" thickBot="1" x14ac:dyDescent="0.35">
      <c r="A239" s="1" t="s">
        <v>4</v>
      </c>
      <c r="B239" s="2" t="s">
        <v>9</v>
      </c>
      <c r="C239" t="s">
        <v>99</v>
      </c>
    </row>
    <row r="240" spans="1:6" ht="15" thickTop="1" x14ac:dyDescent="0.3">
      <c r="A240" s="4">
        <v>301</v>
      </c>
      <c r="B240" s="5">
        <v>45000</v>
      </c>
      <c r="C240">
        <f>ROUND(B240,13)</f>
        <v>45000</v>
      </c>
    </row>
    <row r="241" spans="1:15" x14ac:dyDescent="0.3">
      <c r="A241" s="6">
        <v>302</v>
      </c>
      <c r="B241" s="7">
        <v>15000</v>
      </c>
      <c r="C241">
        <f t="shared" ref="C241:C245" si="1">ROUND(B241,13)</f>
        <v>15000</v>
      </c>
    </row>
    <row r="242" spans="1:15" x14ac:dyDescent="0.3">
      <c r="A242" s="4">
        <v>303</v>
      </c>
      <c r="B242" s="5">
        <v>18000</v>
      </c>
      <c r="C242">
        <f t="shared" si="1"/>
        <v>18000</v>
      </c>
    </row>
    <row r="243" spans="1:15" x14ac:dyDescent="0.3">
      <c r="A243" s="6">
        <v>304</v>
      </c>
      <c r="B243" s="7">
        <v>45000</v>
      </c>
      <c r="C243">
        <f t="shared" si="1"/>
        <v>45000</v>
      </c>
    </row>
    <row r="244" spans="1:15" x14ac:dyDescent="0.3">
      <c r="A244" s="4">
        <v>305</v>
      </c>
      <c r="B244" s="5">
        <v>15000</v>
      </c>
      <c r="C244">
        <f t="shared" si="1"/>
        <v>15000</v>
      </c>
    </row>
    <row r="245" spans="1:15" x14ac:dyDescent="0.3">
      <c r="A245" s="10">
        <v>306</v>
      </c>
      <c r="B245" s="11">
        <v>45000</v>
      </c>
      <c r="C245">
        <f t="shared" si="1"/>
        <v>45000</v>
      </c>
    </row>
    <row r="248" spans="1:15" x14ac:dyDescent="0.3">
      <c r="A248" s="17" t="s">
        <v>69</v>
      </c>
      <c r="B248" s="17"/>
      <c r="C248" s="17"/>
      <c r="D248" s="17"/>
      <c r="E248" s="17"/>
      <c r="F248" s="17"/>
    </row>
    <row r="249" spans="1:15" x14ac:dyDescent="0.3">
      <c r="A249" t="s">
        <v>4</v>
      </c>
      <c r="B249" t="s">
        <v>5</v>
      </c>
      <c r="C249" t="s">
        <v>6</v>
      </c>
      <c r="D249" t="s">
        <v>7</v>
      </c>
      <c r="E249" t="s">
        <v>8</v>
      </c>
      <c r="F249" t="s">
        <v>9</v>
      </c>
      <c r="G249" t="s">
        <v>10</v>
      </c>
      <c r="I249" t="s">
        <v>4</v>
      </c>
      <c r="J249" t="s">
        <v>5</v>
      </c>
      <c r="K249" t="s">
        <v>6</v>
      </c>
      <c r="L249" t="s">
        <v>7</v>
      </c>
      <c r="M249" t="s">
        <v>8</v>
      </c>
      <c r="N249" t="s">
        <v>9</v>
      </c>
      <c r="O249" t="s">
        <v>10</v>
      </c>
    </row>
    <row r="250" spans="1:15" x14ac:dyDescent="0.3">
      <c r="A250">
        <v>301</v>
      </c>
      <c r="B250" t="s">
        <v>11</v>
      </c>
      <c r="C250" t="s">
        <v>12</v>
      </c>
      <c r="D250" t="s">
        <v>13</v>
      </c>
      <c r="E250">
        <v>2</v>
      </c>
      <c r="F250">
        <v>45000</v>
      </c>
      <c r="G250" t="s">
        <v>14</v>
      </c>
      <c r="I250">
        <v>301</v>
      </c>
      <c r="J250" t="s">
        <v>11</v>
      </c>
      <c r="K250" t="s">
        <v>12</v>
      </c>
      <c r="L250" t="s">
        <v>13</v>
      </c>
      <c r="M250">
        <v>2</v>
      </c>
      <c r="N250">
        <v>45000</v>
      </c>
      <c r="O250" t="s">
        <v>14</v>
      </c>
    </row>
    <row r="251" spans="1:15" x14ac:dyDescent="0.3">
      <c r="A251">
        <v>302</v>
      </c>
      <c r="B251" t="s">
        <v>15</v>
      </c>
      <c r="C251" t="s">
        <v>16</v>
      </c>
      <c r="D251" t="s">
        <v>17</v>
      </c>
      <c r="E251">
        <v>5</v>
      </c>
      <c r="F251">
        <v>15000</v>
      </c>
      <c r="G251" t="s">
        <v>18</v>
      </c>
      <c r="I251">
        <v>302</v>
      </c>
      <c r="J251" t="s">
        <v>15</v>
      </c>
      <c r="K251" t="s">
        <v>16</v>
      </c>
      <c r="L251" t="s">
        <v>17</v>
      </c>
      <c r="M251">
        <v>5</v>
      </c>
      <c r="N251">
        <v>15000</v>
      </c>
      <c r="O251" t="s">
        <v>18</v>
      </c>
    </row>
    <row r="252" spans="1:15" x14ac:dyDescent="0.3">
      <c r="A252">
        <v>303</v>
      </c>
      <c r="B252" t="s">
        <v>19</v>
      </c>
      <c r="C252" t="s">
        <v>20</v>
      </c>
      <c r="D252" t="s">
        <v>21</v>
      </c>
      <c r="E252">
        <v>3</v>
      </c>
      <c r="F252">
        <v>18000</v>
      </c>
      <c r="G252" t="s">
        <v>22</v>
      </c>
      <c r="I252">
        <v>303</v>
      </c>
      <c r="J252" t="s">
        <v>19</v>
      </c>
      <c r="K252" t="s">
        <v>20</v>
      </c>
      <c r="L252" t="s">
        <v>21</v>
      </c>
      <c r="M252">
        <v>3</v>
      </c>
      <c r="N252">
        <v>18000</v>
      </c>
      <c r="O252" t="s">
        <v>22</v>
      </c>
    </row>
    <row r="253" spans="1:15" x14ac:dyDescent="0.3">
      <c r="A253">
        <v>304</v>
      </c>
      <c r="B253" t="s">
        <v>23</v>
      </c>
      <c r="C253" t="s">
        <v>24</v>
      </c>
      <c r="D253" t="s">
        <v>13</v>
      </c>
      <c r="E253">
        <v>1</v>
      </c>
      <c r="F253">
        <v>45000</v>
      </c>
      <c r="G253" t="s">
        <v>25</v>
      </c>
      <c r="I253">
        <v>304</v>
      </c>
      <c r="J253" t="s">
        <v>23</v>
      </c>
      <c r="K253" t="s">
        <v>24</v>
      </c>
      <c r="L253" t="s">
        <v>13</v>
      </c>
      <c r="M253">
        <v>1</v>
      </c>
      <c r="N253">
        <v>45000</v>
      </c>
      <c r="O253" t="s">
        <v>25</v>
      </c>
    </row>
    <row r="254" spans="1:15" x14ac:dyDescent="0.3">
      <c r="A254">
        <v>305</v>
      </c>
      <c r="B254" t="s">
        <v>11</v>
      </c>
      <c r="C254" t="s">
        <v>12</v>
      </c>
      <c r="D254" t="s">
        <v>17</v>
      </c>
      <c r="E254">
        <v>4</v>
      </c>
      <c r="F254">
        <v>15000</v>
      </c>
      <c r="G254" t="s">
        <v>26</v>
      </c>
      <c r="I254">
        <v>305</v>
      </c>
      <c r="J254" t="s">
        <v>11</v>
      </c>
      <c r="K254" t="s">
        <v>12</v>
      </c>
      <c r="L254" t="s">
        <v>17</v>
      </c>
      <c r="M254">
        <v>4</v>
      </c>
      <c r="N254">
        <v>15000</v>
      </c>
      <c r="O254" t="s">
        <v>26</v>
      </c>
    </row>
    <row r="255" spans="1:15" x14ac:dyDescent="0.3">
      <c r="A255">
        <v>306</v>
      </c>
      <c r="B255" t="s">
        <v>15</v>
      </c>
      <c r="C255" t="s">
        <v>16</v>
      </c>
      <c r="D255" t="s">
        <v>13</v>
      </c>
      <c r="E255">
        <v>2</v>
      </c>
      <c r="F255">
        <v>45000</v>
      </c>
      <c r="G255" t="s">
        <v>27</v>
      </c>
      <c r="I255">
        <v>306</v>
      </c>
      <c r="J255" t="s">
        <v>15</v>
      </c>
      <c r="K255" t="s">
        <v>16</v>
      </c>
      <c r="L255" t="s">
        <v>13</v>
      </c>
      <c r="M255">
        <v>2</v>
      </c>
      <c r="N255">
        <v>45000</v>
      </c>
      <c r="O255" t="s">
        <v>27</v>
      </c>
    </row>
    <row r="256" spans="1:15" x14ac:dyDescent="0.3">
      <c r="A256">
        <v>306</v>
      </c>
      <c r="B256" t="s">
        <v>15</v>
      </c>
      <c r="C256" t="s">
        <v>16</v>
      </c>
      <c r="D256" t="s">
        <v>13</v>
      </c>
      <c r="E256">
        <v>2</v>
      </c>
      <c r="F256">
        <v>45000</v>
      </c>
      <c r="G256" t="s">
        <v>27</v>
      </c>
    </row>
    <row r="259" spans="1:6" x14ac:dyDescent="0.3">
      <c r="A259" s="17" t="s">
        <v>70</v>
      </c>
      <c r="B259" s="17"/>
      <c r="C259" s="17"/>
      <c r="D259" s="17"/>
      <c r="E259" s="17"/>
      <c r="F259" s="17"/>
    </row>
    <row r="262" spans="1:6" x14ac:dyDescent="0.3">
      <c r="A262" s="17" t="s">
        <v>71</v>
      </c>
      <c r="B262" s="17"/>
      <c r="C262" s="17"/>
      <c r="D262" s="17"/>
      <c r="E262" s="17"/>
      <c r="F262" s="17"/>
    </row>
  </sheetData>
  <sortState xmlns:xlrd2="http://schemas.microsoft.com/office/spreadsheetml/2017/richdata2" ref="A75:A79">
    <sortCondition ref="A74:A79"/>
  </sortState>
  <mergeCells count="40">
    <mergeCell ref="A238:F238"/>
    <mergeCell ref="A248:F248"/>
    <mergeCell ref="A259:F259"/>
    <mergeCell ref="A262:F262"/>
    <mergeCell ref="A204:F204"/>
    <mergeCell ref="A214:F214"/>
    <mergeCell ref="A224:F224"/>
    <mergeCell ref="A234:F234"/>
    <mergeCell ref="A235:B235"/>
    <mergeCell ref="C235:D235"/>
    <mergeCell ref="A150:E150"/>
    <mergeCell ref="A177:F177"/>
    <mergeCell ref="A186:F186"/>
    <mergeCell ref="E189:F189"/>
    <mergeCell ref="E190:F190"/>
    <mergeCell ref="A195:F195"/>
    <mergeCell ref="A104:B104"/>
    <mergeCell ref="A107:E107"/>
    <mergeCell ref="A116:E116"/>
    <mergeCell ref="A124:E124"/>
    <mergeCell ref="A133:E133"/>
    <mergeCell ref="A72:E72"/>
    <mergeCell ref="A82:E82"/>
    <mergeCell ref="A90:E90"/>
    <mergeCell ref="A99:E99"/>
    <mergeCell ref="A100:B100"/>
    <mergeCell ref="A103:E103"/>
    <mergeCell ref="A39:E39"/>
    <mergeCell ref="A47:E47"/>
    <mergeCell ref="A57:E57"/>
    <mergeCell ref="A58:B58"/>
    <mergeCell ref="A59:B59"/>
    <mergeCell ref="A62:E62"/>
    <mergeCell ref="A1:E1"/>
    <mergeCell ref="A11:E11"/>
    <mergeCell ref="A21:E21"/>
    <mergeCell ref="A31:E31"/>
    <mergeCell ref="A35:E35"/>
    <mergeCell ref="A36:B36"/>
    <mergeCell ref="A32:B32"/>
  </mergeCells>
  <conditionalFormatting sqref="C109:C113">
    <cfRule type="cellIs" dxfId="6" priority="2" operator="equal">
      <formula>"Not Eligible"</formula>
    </cfRule>
    <cfRule type="cellIs" dxfId="5" priority="3" operator="equal">
      <formula>"Not Eligible"</formula>
    </cfRule>
  </conditionalFormatting>
  <conditionalFormatting sqref="B216:B221">
    <cfRule type="cellIs" dxfId="2" priority="1" operator="greaterThan">
      <formula>60000</formula>
    </cfRule>
  </conditionalFormatting>
  <pageMargins left="0.7" right="0.7" top="0.75" bottom="0.75" header="0.3" footer="0.3"/>
  <drawing r:id="rId3"/>
  <tableParts count="14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CD46CBB-E767-4533-B91A-561B234721CA}">
  <ds:schemaRefs/>
</ds:datastoreItem>
</file>

<file path=customXml/itemProps2.xml><?xml version="1.0" encoding="utf-8"?>
<ds:datastoreItem xmlns:ds="http://schemas.openxmlformats.org/officeDocument/2006/customXml" ds:itemID="{851F4B0F-2518-47CF-9C76-E1AB82FC4FB9}">
  <ds:schemaRefs/>
</ds:datastoreItem>
</file>

<file path=customXml/itemProps3.xml><?xml version="1.0" encoding="utf-8"?>
<ds:datastoreItem xmlns:ds="http://schemas.openxmlformats.org/officeDocument/2006/customXml" ds:itemID="{160115B5-5044-4491-B375-6D36295A8006}">
  <ds:schemaRefs/>
</ds:datastoreItem>
</file>

<file path=customXml/itemProps4.xml><?xml version="1.0" encoding="utf-8"?>
<ds:datastoreItem xmlns:ds="http://schemas.openxmlformats.org/officeDocument/2006/customXml" ds:itemID="{CC0FB826-431C-4B44-BE19-BE2F7906CB8B}">
  <ds:schemaRefs/>
</ds:datastoreItem>
</file>

<file path=customXml/itemProps5.xml><?xml version="1.0" encoding="utf-8"?>
<ds:datastoreItem xmlns:ds="http://schemas.openxmlformats.org/officeDocument/2006/customXml" ds:itemID="{94A6F46F-F9A1-4107-9E04-DD73CEAC348C}">
  <ds:schemaRefs/>
</ds:datastoreItem>
</file>

<file path=customXml/itemProps6.xml><?xml version="1.0" encoding="utf-8"?>
<ds:datastoreItem xmlns:ds="http://schemas.openxmlformats.org/officeDocument/2006/customXml" ds:itemID="{71831F33-9BA9-4F21-B3D1-B34029238E00}">
  <ds:schemaRefs/>
</ds:datastoreItem>
</file>

<file path=customXml/itemProps7.xml><?xml version="1.0" encoding="utf-8"?>
<ds:datastoreItem xmlns:ds="http://schemas.openxmlformats.org/officeDocument/2006/customXml" ds:itemID="{803B8887-38E8-4CAE-9BB3-09C156A0BF6F}">
  <ds:schemaRefs/>
</ds:datastoreItem>
</file>

<file path=customXml/itemProps8.xml><?xml version="1.0" encoding="utf-8"?>
<ds:datastoreItem xmlns:ds="http://schemas.openxmlformats.org/officeDocument/2006/customXml" ds:itemID="{3F465F45-9A4B-4BBF-B679-2F0041658747}">
  <ds:schemaRefs/>
</ds:datastoreItem>
</file>

<file path=customXml/itemProps9.xml><?xml version="1.0" encoding="utf-8"?>
<ds:datastoreItem xmlns:ds="http://schemas.openxmlformats.org/officeDocument/2006/customXml" ds:itemID="{5C543B3A-95E8-4DD4-A7DA-0886ADC0C395}">
  <ds:schemaRefs/>
</ds:datastoreItem>
</file>

<file path=customXml/itemProps10.xml><?xml version="1.0" encoding="utf-8"?>
<ds:datastoreItem xmlns:ds="http://schemas.openxmlformats.org/officeDocument/2006/customXml" ds:itemID="{3963DE94-5D16-4997-8397-D7F76FB22FB9}">
  <ds:schemaRefs/>
</ds:datastoreItem>
</file>

<file path=customXml/itemProps11.xml><?xml version="1.0" encoding="utf-8"?>
<ds:datastoreItem xmlns:ds="http://schemas.openxmlformats.org/officeDocument/2006/customXml" ds:itemID="{1D1D552C-29CC-4019-A8B3-592E2ECF561E}">
  <ds:schemaRefs/>
</ds:datastoreItem>
</file>

<file path=customXml/itemProps12.xml><?xml version="1.0" encoding="utf-8"?>
<ds:datastoreItem xmlns:ds="http://schemas.openxmlformats.org/officeDocument/2006/customXml" ds:itemID="{FFBB30FF-A560-4625-9200-6806B2FFADA5}">
  <ds:schemaRefs/>
</ds:datastoreItem>
</file>

<file path=customXml/itemProps13.xml><?xml version="1.0" encoding="utf-8"?>
<ds:datastoreItem xmlns:ds="http://schemas.openxmlformats.org/officeDocument/2006/customXml" ds:itemID="{37927B07-F133-4B74-AF43-29C11DDB0A43}">
  <ds:schemaRefs/>
</ds:datastoreItem>
</file>

<file path=customXml/itemProps14.xml><?xml version="1.0" encoding="utf-8"?>
<ds:datastoreItem xmlns:ds="http://schemas.openxmlformats.org/officeDocument/2006/customXml" ds:itemID="{B0F99F6E-76C2-44F0-B12C-A26866A48836}">
  <ds:schemaRefs/>
</ds:datastoreItem>
</file>

<file path=customXml/itemProps15.xml><?xml version="1.0" encoding="utf-8"?>
<ds:datastoreItem xmlns:ds="http://schemas.openxmlformats.org/officeDocument/2006/customXml" ds:itemID="{B2C08DB1-CC44-4E9A-9E74-AAA75D9E76B3}">
  <ds:schemaRefs/>
</ds:datastoreItem>
</file>

<file path=customXml/itemProps16.xml><?xml version="1.0" encoding="utf-8"?>
<ds:datastoreItem xmlns:ds="http://schemas.openxmlformats.org/officeDocument/2006/customXml" ds:itemID="{BB8BAF4B-0A4C-453F-8EEB-9B022737023C}">
  <ds:schemaRefs/>
</ds:datastoreItem>
</file>

<file path=customXml/itemProps17.xml><?xml version="1.0" encoding="utf-8"?>
<ds:datastoreItem xmlns:ds="http://schemas.openxmlformats.org/officeDocument/2006/customXml" ds:itemID="{0691CEBF-1608-4197-AC1B-620CA8579AA2}">
  <ds:schemaRefs/>
</ds:datastoreItem>
</file>

<file path=customXml/itemProps18.xml><?xml version="1.0" encoding="utf-8"?>
<ds:datastoreItem xmlns:ds="http://schemas.openxmlformats.org/officeDocument/2006/customXml" ds:itemID="{788A3DB0-2477-4533-8B4A-7CD986597076}">
  <ds:schemaRefs/>
</ds:datastoreItem>
</file>

<file path=customXml/itemProps19.xml><?xml version="1.0" encoding="utf-8"?>
<ds:datastoreItem xmlns:ds="http://schemas.openxmlformats.org/officeDocument/2006/customXml" ds:itemID="{B8E8C469-B3F7-411E-B3A0-E7DE13F0DB1C}">
  <ds:schemaRefs/>
</ds:datastoreItem>
</file>

<file path=customXml/itemProps20.xml><?xml version="1.0" encoding="utf-8"?>
<ds:datastoreItem xmlns:ds="http://schemas.openxmlformats.org/officeDocument/2006/customXml" ds:itemID="{D917AA3A-C02F-4F86-827C-BB864C4168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manushree madhwani</cp:lastModifiedBy>
  <dcterms:created xsi:type="dcterms:W3CDTF">2025-12-20T09:26:06Z</dcterms:created>
  <dcterms:modified xsi:type="dcterms:W3CDTF">2026-04-22T14:29:41Z</dcterms:modified>
</cp:coreProperties>
</file>